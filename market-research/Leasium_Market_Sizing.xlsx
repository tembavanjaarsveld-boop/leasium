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argets &amp; Pricing" sheetId="2" state="visible" r:id="rId4"/>
    <sheet name="SE Queensland" sheetId="3" state="visible" r:id="rId5"/>
    <sheet name="Re-Leased Comparison" sheetId="4" state="visible" r:id="rId6"/>
    <sheet name="Australia" sheetId="5" state="visible" r:id="rId7"/>
    <sheet name="New Zealand" sheetId="6" state="visible" r:id="rId8"/>
    <sheet name="United States" sheetId="7" state="visible" r:id="rId9"/>
    <sheet name="Sources &amp; Not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Leasium</author>
  </authors>
  <commentList>
    <comment ref="B16" authorId="0">
      <text>
        <r>
          <rPr>
            <sz val="10"/>
            <rFont val="Arial"/>
            <family val="2"/>
          </rPr>
          <t xml:space="preserve">ABS: construction is Australia's largest industry by business count; most are sole-trader tradies.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Leasium</author>
  </authors>
  <commentList>
    <comment ref="B19" authorId="0">
      <text>
        <r>
          <rPr>
            <sz val="10"/>
            <rFont val="Arial"/>
            <family val="2"/>
          </rPr>
          <t xml:space="preserve">Re-Leased does not publish per-unit pricing. Third-party estimates vary widely. Replace with a real quote.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Leasium</author>
  </authors>
  <commentList>
    <comment ref="B4" authorId="0">
      <text>
        <r>
          <rPr>
            <sz val="10"/>
            <rFont val="Arial"/>
            <family val="2"/>
          </rPr>
          <t xml:space="preserve">Source: ATO Taxation Statistics 2021-22 (released Jun 2024), Table 27 — individuals by number of rental property interests. Via rent.com.au.</t>
        </r>
      </text>
    </comment>
  </commentList>
</comments>
</file>

<file path=xl/sharedStrings.xml><?xml version="1.0" encoding="utf-8"?>
<sst xmlns="http://schemas.openxmlformats.org/spreadsheetml/2006/main" count="322" uniqueCount="295">
  <si>
    <t xml:space="preserve">Leasium — SMB Property Manager Market Sizing</t>
  </si>
  <si>
    <t xml:space="preserve">Target: owners / managers of 2–20 properties. All tenancy figures = dwellings under management (the per-tenant billing unit).</t>
  </si>
  <si>
    <t xml:space="preserve">SCENARIO INPUTS  (edit the blue cells)</t>
  </si>
  <si>
    <t xml:space="preserve">Target market share</t>
  </si>
  <si>
    <t xml:space="preserve">← your assumed capture of each segment</t>
  </si>
  <si>
    <t xml:space="preserve">Price per tenant / month (illustrative)</t>
  </si>
  <si>
    <t xml:space="preserve">← set your own; drives the revenue column only</t>
  </si>
  <si>
    <t xml:space="preserve">Country</t>
  </si>
  <si>
    <t xml:space="preserve">Segment</t>
  </si>
  <si>
    <t xml:space="preserve">Target customers</t>
  </si>
  <si>
    <t xml:space="preserve">Segment tenancies (TAM)</t>
  </si>
  <si>
    <t xml:space="preserve">Tenancies @ share</t>
  </si>
  <si>
    <t xml:space="preserve">Annual revenue @ share</t>
  </si>
  <si>
    <t xml:space="preserve">Australia</t>
  </si>
  <si>
    <t xml:space="preserve">Self-managing landlords (2–20)</t>
  </si>
  <si>
    <t xml:space="preserve">Small PM agencies</t>
  </si>
  <si>
    <t xml:space="preserve">New Zealand</t>
  </si>
  <si>
    <t xml:space="preserve">United States</t>
  </si>
  <si>
    <t xml:space="preserve">Notes</t>
  </si>
  <si>
    <t xml:space="preserve">• 'Target customers' = number of landlords for self-managing rows; number of PM businesses for agency rows.</t>
  </si>
  <si>
    <t xml:space="preserve">• 'Segment tenancies (TAM)' = total dwellings under management in that segment (the whole addressable pool, not your share).</t>
  </si>
  <si>
    <t xml:space="preserve">• Self-managing rows count multi-property (2–20) owners only. Agency rows count agent-managed dwellings across all portfolio sizes.</t>
  </si>
  <si>
    <t xml:space="preserve">• Australia is the rigorous base case (hard ATO data). New Zealand = medium confidence. United States = order-of-magnitude only.</t>
  </si>
  <si>
    <t xml:space="preserve">• See the per-country tabs for the build-up and the 'Sources &amp; Notes' tab for citations, confidence and caveats.</t>
  </si>
  <si>
    <t xml:space="preserve">Leasium — Scaled Targets, Revenue &amp; Pricing</t>
  </si>
  <si>
    <t xml:space="preserve">1. Pricing (per tenant / month)</t>
  </si>
  <si>
    <t xml:space="preserve">Private PM — self-managing landlords</t>
  </si>
  <si>
    <t xml:space="preserve">Higher volume / lower touch → lower price</t>
  </si>
  <si>
    <t xml:space="preserve">SMB property managers — smaller</t>
  </si>
  <si>
    <t xml:space="preserve">SMB property managers — larger</t>
  </si>
  <si>
    <t xml:space="preserve">Blended ARPU (base case)</t>
  </si>
  <si>
    <t xml:space="preserve">Editable — mix of private vs agency tenants</t>
  </si>
  <si>
    <t xml:space="preserve">2. Scaled targets (tenants on platform)</t>
  </si>
  <si>
    <t xml:space="preserve">Brisbane</t>
  </si>
  <si>
    <t xml:space="preserve">SE Queensland</t>
  </si>
  <si>
    <t xml:space="preserve">National (AU)</t>
  </si>
  <si>
    <t xml:space="preserve">Phase</t>
  </si>
  <si>
    <t xml:space="preserve">Target tenants</t>
  </si>
  <si>
    <t xml:space="preserve">1 → 2 → 3</t>
  </si>
  <si>
    <t xml:space="preserve">MRR @ blended ($)</t>
  </si>
  <si>
    <t xml:space="preserve">ARR @ blended ($)</t>
  </si>
  <si>
    <t xml:space="preserve">ARR @ $5 (all private)</t>
  </si>
  <si>
    <t xml:space="preserve">ARR @ $4 (blended)</t>
  </si>
  <si>
    <t xml:space="preserve">ARR @ $3 (all large agency)</t>
  </si>
  <si>
    <t xml:space="preserve">Target as % of TOTAL rental market</t>
  </si>
  <si>
    <t xml:space="preserve">Target as % of self-managing 2-20 segment</t>
  </si>
  <si>
    <t xml:space="preserve">US = Phase 4 (separate model)</t>
  </si>
  <si>
    <t xml:space="preserve">3. Competitor cost reference (effective $/unit/month, small portfolio)</t>
  </si>
  <si>
    <t xml:space="preserve">Product</t>
  </si>
  <si>
    <t xml:space="preserve">$/unit/mo</t>
  </si>
  <si>
    <t xml:space="preserve">Segment / note</t>
  </si>
  <si>
    <t xml:space="preserve">Leasium — private landlords</t>
  </si>
  <si>
    <t xml:space="preserve">Self-managing landlords</t>
  </si>
  <si>
    <t xml:space="preserve">Leasium — SMB agency (small)</t>
  </si>
  <si>
    <t xml:space="preserve">Small agencies</t>
  </si>
  <si>
    <t xml:space="preserve">Leasium — SMB agency (large)</t>
  </si>
  <si>
    <t xml:space="preserve">Larger agencies</t>
  </si>
  <si>
    <t xml:space="preserve">RentBetter (AU)</t>
  </si>
  <si>
    <t xml:space="preserve">Self-managing landlord app — $29-36/property</t>
  </si>
  <si>
    <t xml:space="preserve">RentingSmart (AU)</t>
  </si>
  <si>
    <t xml:space="preserve">Self-managing landlord app — $15-25/property</t>
  </si>
  <si>
    <t xml:space="preserve">PropertyMe (AU)</t>
  </si>
  <si>
    <t xml:space="preserve">Agency PM; from $1.76/prop at 100 (≈$8.80 at 20, $176 floor)</t>
  </si>
  <si>
    <t xml:space="preserve">DoorLoop (US)</t>
  </si>
  <si>
    <t xml:space="preserve">Per-unit w/ plan floor: Starter $69/mo (&lt;=10 units) = $6.90/unit; scales toward ~$3/unit at volume</t>
  </si>
  <si>
    <t xml:space="preserve">Buildium (US)</t>
  </si>
  <si>
    <t xml:space="preserve">From $58/mo; ~$2.40/unit at 100</t>
  </si>
  <si>
    <t xml:space="preserve">Hemlane (US)</t>
  </si>
  <si>
    <t xml:space="preserve">$36.50 base + $2.50/unit (at 20 units)</t>
  </si>
  <si>
    <t xml:space="preserve">TenantCloud (US)</t>
  </si>
  <si>
    <t xml:space="preserve">From $17/mo; free tier</t>
  </si>
  <si>
    <t xml:space="preserve">Re-Leased (commercial)</t>
  </si>
  <si>
    <t xml:space="preserve">Quote-based; ~$18-72/unit at 5-20 units incl. floor+setup</t>
  </si>
  <si>
    <t xml:space="preserve">Competitor prices are published list/entry pricing converted to an effective per-unit rate at a small portfolio; AU tools priced per property, US per unit. Re-Leased is quote-based (estimated). Sources on respective sites + Capterra/GetApp.</t>
  </si>
  <si>
    <t xml:space="preserve">SE Queensland — Brisbane launch → SEQ rollout</t>
  </si>
  <si>
    <t xml:space="preserve">Anchored on the RTA's hard bond count (631,805 QLD tenancies, Jun 2025). Brisbane = beachhead; SEQ = the rollout. Segment ratios reuse the Australia tab; maintenance layer added for partner-building.</t>
  </si>
  <si>
    <t xml:space="preserve">Assumptions (edit blue cells; green cells link to the Australia tab)</t>
  </si>
  <si>
    <t xml:space="preserve">QLD active rental bonds (RTA, 30 Jun 2025)</t>
  </si>
  <si>
    <t xml:space="preserve">Source: RTA Annual Report 2024-25 (~$1.3B held).</t>
  </si>
  <si>
    <t xml:space="preserve">Greater Brisbane share of QLD bonds</t>
  </si>
  <si>
    <t xml:space="preserve">Apportionment, anchored to ~48% pop / ~50% rental share. Refine w/ RTA LGA data.</t>
  </si>
  <si>
    <t xml:space="preserve">SE Queensland share of QLD bonds</t>
  </si>
  <si>
    <t xml:space="preserve">Apportionment, anchored to ~71% pop / higher urban rental share.</t>
  </si>
  <si>
    <t xml:space="preserve">Self-management rate</t>
  </si>
  <si>
    <t xml:space="preserve">Linked from Australia tab (30%). QLD may run higher.</t>
  </si>
  <si>
    <t xml:space="preserve">Multi-property share of rental dwellings</t>
  </si>
  <si>
    <t xml:space="preserve">From ATO: multi-property investors hold ~51% of dwellings.</t>
  </si>
  <si>
    <t xml:space="preserve">Avg dwellings per multi-property landlord</t>
  </si>
  <si>
    <t xml:space="preserve">Linked from Australia tab (~2.3).</t>
  </si>
  <si>
    <t xml:space="preserve">Agent-managed rate</t>
  </si>
  <si>
    <t xml:space="preserve">Equals 1 minus the self-management rate.</t>
  </si>
  <si>
    <t xml:space="preserve">Median weekly rent (SEQ, RTA)</t>
  </si>
  <si>
    <t xml:space="preserve">RTA Q2-2025: Brisbane combined ~$625-700/wk; SEQ blend conservative.</t>
  </si>
  <si>
    <t xml:space="preserve">Maintenance as % of annual rent</t>
  </si>
  <si>
    <t xml:space="preserve">Industry rule of thumb 5-10% of gross rent.</t>
  </si>
  <si>
    <t xml:space="preserve">Maintenance jobs per tenancy / year</t>
  </si>
  <si>
    <t xml:space="preserve">Planning estimate: reactive + periodic jobs per rental/yr.</t>
  </si>
  <si>
    <t xml:space="preserve">QLD construction businesses (ABS)</t>
  </si>
  <si>
    <t xml:space="preserve">ABS Counts of Australian Businesses; QLD construction ~17% of 511,835.</t>
  </si>
  <si>
    <t xml:space="preserve">Maintenance-relevant trades share</t>
  </si>
  <si>
    <t xml:space="preserve">Est. share of construction firms doing rental maintenance trades.</t>
  </si>
  <si>
    <t xml:space="preserve">Greater Brisbane</t>
  </si>
  <si>
    <t xml:space="preserve">Queensland</t>
  </si>
  <si>
    <t xml:space="preserve">A. Rental market size (tenancies)</t>
  </si>
  <si>
    <t xml:space="preserve">Total rental tenancies (RTA bonds basis)</t>
  </si>
  <si>
    <t xml:space="preserve">Self-managed tenancies (all portfolios)</t>
  </si>
  <si>
    <t xml:space="preserve">Agent-managed tenancies</t>
  </si>
  <si>
    <t xml:space="preserve">B. Leasium target segments</t>
  </si>
  <si>
    <t xml:space="preserve">Self-managing 2-20 landlords (customers)</t>
  </si>
  <si>
    <t xml:space="preserve">Self-managing 2-20 tenancies (TAM)</t>
  </si>
  <si>
    <t xml:space="preserve">Tenancies @ target share (Summary tab)</t>
  </si>
  <si>
    <t xml:space="preserve">Uses the market-share input on the Summary tab (default 50%).</t>
  </si>
  <si>
    <t xml:space="preserve">Small PM / real estate agencies (count)</t>
  </si>
  <si>
    <t xml:space="preserve">Directory counts (rentechdigital). QLD ~2,110; Brisbane ~1,120. Editable.</t>
  </si>
  <si>
    <t xml:space="preserve">C. Maintenance partner opportunity</t>
  </si>
  <si>
    <t xml:space="preserve">Maintenance jobs / year (whole market)</t>
  </si>
  <si>
    <t xml:space="preserve">Total reactive+periodic jobs across all rentals.</t>
  </si>
  <si>
    <t xml:space="preserve">Maintenance spend / year (whole market)</t>
  </si>
  <si>
    <t xml:space="preserve">The rental-maintenance wallet — the prize for partners.</t>
  </si>
  <si>
    <t xml:space="preserve">Construction businesses (ABS basis)</t>
  </si>
  <si>
    <t xml:space="preserve">Maintenance-relevant trade businesses (est.)</t>
  </si>
  <si>
    <t xml:space="preserve">Plumbing, electrical, HVAC, handyman, pest, painting, etc.</t>
  </si>
  <si>
    <t xml:space="preserve">Maint. jobs Leasium routes @ target share</t>
  </si>
  <si>
    <t xml:space="preserve">Jobs Leasium could route to partners at the Summary share.</t>
  </si>
  <si>
    <t xml:space="preserve">Notes &amp; caveats</t>
  </si>
  <si>
    <t xml:space="preserve">• Hard anchor = RTA bonds (631,805 QLD tenancies, Jun 2025). Brisbane/SEQ are apportionments of that count — replace shares with RTA postcode/LGA data to firm up.</t>
  </si>
  <si>
    <t xml:space="preserve">• Segment ratios (51% multi-property, 30% self-managed, 2.3 dwellings/landlord) are reused from the national Australia tab and link live where possible.</t>
  </si>
  <si>
    <t xml:space="preserve">• Maintenance figures are planning estimates: jobs/tenancy/year and % of rent are assumptions, not measured QLD data.</t>
  </si>
  <si>
    <t xml:space="preserve">• 'Construction businesses' is ABS-basis (mostly sole-trader tradies); the maintenance-relevant subset is an estimate. Agency counts are directory scrapes.</t>
  </si>
  <si>
    <t xml:space="preserve">• For the partner pitch, the headline numbers are the whole-market maintenance wallet and job volume; the 'routes @ share' rows are what Leasium realistically channels early.</t>
  </si>
  <si>
    <t xml:space="preserve">Sources: RTA Annual Report 2024-25 (rta.qld.gov.au/annualreport) · profile.id.com.au/comseq (SEQ tenure) · ABS Counts of Australian Businesses / Tradies article (abs.gov.au) · RTA median rents Q2-2025 · rentechdigital agency directory.</t>
  </si>
  <si>
    <t xml:space="preserve">Leasium vs Re-Leased — cost &amp; positioning</t>
  </si>
  <si>
    <t xml:space="preserve">Re-Leased pricing is QUOTE-BASED (not published). Cells marked ESTIMATE are third-party-derived and editable — drop in a real quote when you have one.</t>
  </si>
  <si>
    <t xml:space="preserve">1. How they differ</t>
  </si>
  <si>
    <t xml:space="preserve">Re-Leased</t>
  </si>
  <si>
    <t xml:space="preserve">Leasium</t>
  </si>
  <si>
    <t xml:space="preserve">Primary segment</t>
  </si>
  <si>
    <t xml:space="preserve">Commercial &amp; mixed-use</t>
  </si>
  <si>
    <t xml:space="preserve">Residential SMB</t>
  </si>
  <si>
    <t xml:space="preserve">Typical portfolio</t>
  </si>
  <si>
    <t xml:space="preserve">50 – 20,000+ leases</t>
  </si>
  <si>
    <t xml:space="preserve">2 – 20 properties</t>
  </si>
  <si>
    <t xml:space="preserve">Target buyer</t>
  </si>
  <si>
    <t xml:space="preserve">PM firms, commercial landlords, institutions</t>
  </si>
  <si>
    <t xml:space="preserve">Self-managing landlords &amp; small agencies</t>
  </si>
  <si>
    <t xml:space="preserve">Pricing model</t>
  </si>
  <si>
    <t xml:space="preserve">Quote-based, per portfolio (premium)</t>
  </si>
  <si>
    <t xml:space="preserve">Transparent per-tenant</t>
  </si>
  <si>
    <t xml:space="preserve">Published pricing?</t>
  </si>
  <si>
    <t xml:space="preserve">No — request a quote</t>
  </si>
  <si>
    <t xml:space="preserve">Yes</t>
  </si>
  <si>
    <t xml:space="preserve">Setup / implementation</t>
  </si>
  <si>
    <t xml:space="preserve">Mandatory, paid (est. ~40% of yr-1 sub)</t>
  </si>
  <si>
    <t xml:space="preserve">Self-serve, $0</t>
  </si>
  <si>
    <t xml:space="preserve">Free trial / free tier</t>
  </si>
  <si>
    <t xml:space="preserve">No</t>
  </si>
  <si>
    <t xml:space="preserve">TBD (low-cost positioning)</t>
  </si>
  <si>
    <t xml:space="preserve">Min practical size</t>
  </si>
  <si>
    <t xml:space="preserve">~50 leases</t>
  </si>
  <si>
    <t xml:space="preserve">1+ property</t>
  </si>
  <si>
    <t xml:space="preserve">Accounting</t>
  </si>
  <si>
    <t xml:space="preserve">Xero / QBO / Sage / NetSuite (2-way)</t>
  </si>
  <si>
    <t xml:space="preserve">Xero (review-first)</t>
  </si>
  <si>
    <t xml:space="preserve">Signature features</t>
  </si>
  <si>
    <t xml:space="preserve">Trust accounting, CAM budgets, Credia AI</t>
  </si>
  <si>
    <t xml:space="preserve">Smart Intake, low per-tenant cost</t>
  </si>
  <si>
    <t xml:space="preserve">2. Pricing assumptions (edit the blue cells)</t>
  </si>
  <si>
    <t xml:space="preserve">Leasium price per tenant / month</t>
  </si>
  <si>
    <t xml:space="preserve">linked from the model's Summary tab</t>
  </si>
  <si>
    <t xml:space="preserve">Re-Leased est. per unit / month  (ESTIMATE)</t>
  </si>
  <si>
    <t xml:space="preserve">Third-party est. band ~$1.50–$4/unit; premium commercial</t>
  </si>
  <si>
    <t xml:space="preserve">Re-Leased monthly minimum  (ESTIMATE)</t>
  </si>
  <si>
    <t xml:space="preserve">Commercial PM platforms typically carry a monthly floor</t>
  </si>
  <si>
    <t xml:space="preserve">Re-Leased one-time implementation  (ESTIMATE)</t>
  </si>
  <si>
    <t xml:space="preserve">ITQlick: implementation mandatory, ~40% of yr-1 subscription</t>
  </si>
  <si>
    <t xml:space="preserve">Leasium one-time setup</t>
  </si>
  <si>
    <t xml:space="preserve">self-serve onboarding</t>
  </si>
  <si>
    <t xml:space="preserve">3. Annual cost by portfolio size</t>
  </si>
  <si>
    <t xml:space="preserve">Portfolio (units)</t>
  </si>
  <si>
    <t xml:space="preserve">Leasium / year</t>
  </si>
  <si>
    <t xml:space="preserve">Re-Leased / year (ongoing)</t>
  </si>
  <si>
    <t xml:space="preserve">Re-Leased year 1 (incl. setup)</t>
  </si>
  <si>
    <t xml:space="preserve">Leasium eff. $/unit/mo</t>
  </si>
  <si>
    <t xml:space="preserve">Re-Leased eff. $/unit/mo (yr 1)</t>
  </si>
  <si>
    <t xml:space="preserve">Note: Re-Leased rarely engages residential portfolios under ~50 units. The 5/10/20 rows show what a small portfolio WOULD pay if accepted — the monthly floor + setup fee dominate at small scale.</t>
  </si>
  <si>
    <t xml:space="preserve">4. Takeaway</t>
  </si>
  <si>
    <t xml:space="preserve">• Different buyers: Re-Leased sells to commercial / mid-market property managers; Leasium targets residential SMB self-managers. They rarely meet head-to-head.</t>
  </si>
  <si>
    <t xml:space="preserve">• At 2–20 units, Re-Leased's monthly floor + mandatory paid implementation make its effective per-unit cost very high — and it typically won't take a portfolio that small.</t>
  </si>
  <si>
    <t xml:space="preserve">• Leasium's wedge is exactly the long tail Re-Leased ignores: transparent, low per-tenant price, $0 setup, self-serve.</t>
  </si>
  <si>
    <t xml:space="preserve">• Use Re-Leased as a price ceiling and positioning foil, not a like-for-like competitor. For a true residential head-to-head, benchmark PropertyMe, :Different, Ailo (AU) or DoorLoop/Buildium (US) next.</t>
  </si>
  <si>
    <t xml:space="preserve">• Reference point — ITQlick TCO estimate (10 users): ~$3,620/mo + ~$17k implementation ≈ $61k year 1. Illustrates Re-Leased's mid-market price level (estimate, not a quote).</t>
  </si>
  <si>
    <t xml:space="preserve">Australia — bottom-up market size</t>
  </si>
  <si>
    <t xml:space="preserve">1. Rental property ownership (ATO Taxation Statistics 2021–22)</t>
  </si>
  <si>
    <t xml:space="preserve">Investors owning 1 property</t>
  </si>
  <si>
    <t xml:space="preserve">Investors owning 2 properties</t>
  </si>
  <si>
    <t xml:space="preserve">Investors owning 3 properties</t>
  </si>
  <si>
    <t xml:space="preserve">Investors owning 4 properties</t>
  </si>
  <si>
    <t xml:space="preserve">Investors owning 5 properties</t>
  </si>
  <si>
    <t xml:space="preserve">Investors owning 6+ properties</t>
  </si>
  <si>
    <t xml:space="preserve">Total investors declaring rental income</t>
  </si>
  <si>
    <t xml:space="preserve">Multi-property investors (2–20) = target landlord base</t>
  </si>
  <si>
    <t xml:space="preserve">Single-property investors (adjacent, excluded)</t>
  </si>
  <si>
    <t xml:space="preserve">2. Assumptions (edit the blue cells)</t>
  </si>
  <si>
    <t xml:space="preserve">Avg properties per '6+' investor</t>
  </si>
  <si>
    <t xml:space="preserve">ATO 2019-20 net-rent table: ~19.9k investors hold ~150k interests → ~7.5 avg.</t>
  </si>
  <si>
    <t xml:space="preserve">Joint-ownership adj. (interests → dwellings)</t>
  </si>
  <si>
    <t xml:space="preserve">Total interests 3.31M vs ~2.9M actual dwellings → 0.88. Removes double-count of jointly-owned properties.</t>
  </si>
  <si>
    <t xml:space="preserve">Total private rental dwellings (AU)</t>
  </si>
  <si>
    <t xml:space="preserve">ABS/CoreLogic: ~11.2M dwellings; ~26% privately rented → ~2.9M. Flex 2.6-3.1M.</t>
  </si>
  <si>
    <t xml:space="preserve">RentBetter / realestate.com.au / Finder: 25-33% self-manage. Base 30%.</t>
  </si>
  <si>
    <t xml:space="preserve">Residential PM businesses (count)</t>
  </si>
  <si>
    <t xml:space="preserve">IBISWorld: Residential Property Leasing &amp; Management in Australia, 2025 (11,784 businesses).</t>
  </si>
  <si>
    <t xml:space="preserve">3. Dwellings held by the 2–20 segment</t>
  </si>
  <si>
    <t xml:space="preserve">Property interests held by multi-property investors</t>
  </si>
  <si>
    <t xml:space="preserve">→ Dwellings held by multi-property investors</t>
  </si>
  <si>
    <t xml:space="preserve">Avg dwellings per multi-property investor</t>
  </si>
  <si>
    <t xml:space="preserve">4. Segment A — self-managing landlords (2–20)</t>
  </si>
  <si>
    <t xml:space="preserve">Target customers (self-managing multi-prop investors)</t>
  </si>
  <si>
    <t xml:space="preserve">Segment tenancies — self-managed, multi-property (TAM)</t>
  </si>
  <si>
    <t xml:space="preserve">Customers @ target share</t>
  </si>
  <si>
    <t xml:space="preserve">Tenancies @ target share</t>
  </si>
  <si>
    <t xml:space="preserve">5. Segment B — small PM agencies</t>
  </si>
  <si>
    <t xml:space="preserve">Target customers (residential PM businesses)</t>
  </si>
  <si>
    <t xml:space="preserve">Agent-managed tenancies (TAM)</t>
  </si>
  <si>
    <t xml:space="preserve">Avg rent roll per agency (doors)</t>
  </si>
  <si>
    <t xml:space="preserve">Businesses @ target share</t>
  </si>
  <si>
    <t xml:space="preserve">Reconciliation: Seg A self-mgd (multi) + single-prop self-mgd + agent-managed ≈ total rental dwellings</t>
  </si>
  <si>
    <t xml:space="preserve">Single-property self-managed (adjacent pool, excluded from 2–20)</t>
  </si>
  <si>
    <t xml:space="preserve">New Zealand — market size (medium confidence)</t>
  </si>
  <si>
    <t xml:space="preserve">Assumptions (edit the blue cells)</t>
  </si>
  <si>
    <t xml:space="preserve">Total rental dwellings (NZ)</t>
  </si>
  <si>
    <t xml:space="preserve">StatsNZ ~600k renting households (Census). Active bonds Nov-2024 = 410,904 as a conservative floor.</t>
  </si>
  <si>
    <t xml:space="preserve">Share of landlords owning only 1 property</t>
  </si>
  <si>
    <t xml:space="preserve">Stuff/MBIE: ~80% of NZ landlords own a single property.</t>
  </si>
  <si>
    <t xml:space="preserve">Multi-property share of dwellings</t>
  </si>
  <si>
    <t xml:space="preserve">Assumed: multi-property landlords hold ~half of dwellings (mirrors AU skew).</t>
  </si>
  <si>
    <t xml:space="preserve">MBIE: PMs manage ~42% of rentals → ~58% self-managed.</t>
  </si>
  <si>
    <t xml:space="preserve">Residential property managers (count)</t>
  </si>
  <si>
    <t xml:space="preserve">MBIE 2022 discussion paper: estimated 2,096–7,881 residential PMs. Midpoint used.</t>
  </si>
  <si>
    <t xml:space="preserve">Derived landlord &amp; dwelling counts</t>
  </si>
  <si>
    <t xml:space="preserve">Single-property dwellings (= single-prop landlords)</t>
  </si>
  <si>
    <t xml:space="preserve">Total landlords</t>
  </si>
  <si>
    <t xml:space="preserve">Multi-property landlords (2–20)</t>
  </si>
  <si>
    <t xml:space="preserve">Dwellings held by multi-property landlords</t>
  </si>
  <si>
    <t xml:space="preserve">Segment A — self-managing landlords (2–20)</t>
  </si>
  <si>
    <t xml:space="preserve">Target customers (self-managing multi-prop landlords)</t>
  </si>
  <si>
    <t xml:space="preserve">Target customers (link target)</t>
  </si>
  <si>
    <t xml:space="preserve">Segment tenancies (link target)</t>
  </si>
  <si>
    <t xml:space="preserve">Segment B — small PM agencies</t>
  </si>
  <si>
    <t xml:space="preserve">Target customers (residential PMs)</t>
  </si>
  <si>
    <t xml:space="preserve">United States — scale estimate (order-of-magnitude)</t>
  </si>
  <si>
    <t xml:space="preserve">Total rental units (US)</t>
  </si>
  <si>
    <t xml:space="preserve">HUD/Census Rental Housing Finance Survey: ~49.5M rental units.</t>
  </si>
  <si>
    <t xml:space="preserve">Individual investor landlords</t>
  </si>
  <si>
    <t xml:space="preserve">Multiple sources: 10-11M individual ('mom &amp; pop') landlords.</t>
  </si>
  <si>
    <t xml:space="preserve">Individually-owned 1–4 unit dwellings</t>
  </si>
  <si>
    <t xml:space="preserve">RHFS: individuals own ~70% of 1-4 unit stock = ~15.9M units.</t>
  </si>
  <si>
    <t xml:space="preserve">Individual landlords owning 2–20 units</t>
  </si>
  <si>
    <t xml:space="preserve">Estimate: ~half of individual landlords own 2+ units. Rough.</t>
  </si>
  <si>
    <t xml:space="preserve">Self-management rate (small landlords)</t>
  </si>
  <si>
    <t xml:space="preserve">Small US landlords largely self-manage; ~70-80%. Base 75%.</t>
  </si>
  <si>
    <t xml:space="preserve">Agent/professionally-managed share of units</t>
  </si>
  <si>
    <t xml:space="preserve">Low-confidence estimate of professionally managed share of all units.</t>
  </si>
  <si>
    <t xml:space="preserve">Residential property managers (businesses)</t>
  </si>
  <si>
    <t xml:space="preserve">IBISWorld: Residential Property Managers in the US, 2024 (238,381).</t>
  </si>
  <si>
    <t xml:space="preserve">Target customers (2–20 unit individual landlords)</t>
  </si>
  <si>
    <t xml:space="preserve">Segment tenancies — self-managed small-property units (TAM)</t>
  </si>
  <si>
    <t xml:space="preserve">Approx: individually-owned 1-4 unit dwellings × self-mgmt rate. Includes single-unit; the 2-20 subset is the bulk.</t>
  </si>
  <si>
    <t xml:space="preserve">Note: rows 18/19 &amp; 24/25 are the Summary link targets.</t>
  </si>
  <si>
    <t xml:space="preserve">Professionally-managed units (TAM)</t>
  </si>
  <si>
    <t xml:space="preserve">Sources, methodology &amp; confidence</t>
  </si>
  <si>
    <t xml:space="preserve">METHOD</t>
  </si>
  <si>
    <t xml:space="preserve">Tenancy = one dwelling under management = the per-tenant billing unit. We size each segment's total dwellings (TAM), then apply your target market-share input on the Summary tab.</t>
  </si>
  <si>
    <t xml:space="preserve">Two segments per country: (A) self-managing landlords who own 2–20 properties; (B) small property-management agencies. They do not overlap (a dwelling is either self-managed or agent-managed).</t>
  </si>
  <si>
    <t xml:space="preserve">CONFIDENCE</t>
  </si>
  <si>
    <t xml:space="preserve">Australia — HIGH. Built from ATO tax data (every landlord who declares rental income) plus IBISWorld business counts.</t>
  </si>
  <si>
    <t xml:space="preserve">New Zealand — MEDIUM. Bond/Census dwelling counts are solid; landlord split and PM count are estimated from MBIE ranges.</t>
  </si>
  <si>
    <t xml:space="preserve">United States — LOW / order-of-magnitude. Huge, fragmented market; the 2–20 individual-landlord count is a rough estimate and 50% capture is purely illustrative.</t>
  </si>
  <si>
    <t xml:space="preserve">KEY CAVEATS</t>
  </si>
  <si>
    <t xml:space="preserve">• ATO counts 'property interests' not dwellings — a couple owning one property = two interests. We apply a 0.88 factor (3.31M interests ≈ 2.9M dwellings) to avoid double-counting.</t>
  </si>
  <si>
    <t xml:space="preserve">• 'Small PM agency' as literally 2–20 doors is a tiny new-entrant niche; almost all agencies run larger rent rolls (~172 doors avg in AU). The agency rows therefore size SMB agencies broadly, priced per managed door.</t>
  </si>
  <si>
    <t xml:space="preserve">• Self-management rate is the single most sensitive lever for Segment A — it ranges 25–33% (AU). Flex it on each country tab.</t>
  </si>
  <si>
    <t xml:space="preserve">• Figures are 2021–22 (ATO, latest released Jun 2024) and 2024–25 (IBISWorld / bonds). Investor numbers have softened since 2017 due to lending and tax-policy changes.</t>
  </si>
  <si>
    <t xml:space="preserve">SOURCES</t>
  </si>
  <si>
    <t xml:space="preserve">ATO Taxation Statistics 2021–22, individuals / rental property interests — ato.gov.au/about-ato/research-and-statistics/in-detail/taxation-statistics/taxation-statistics-2022-23/statistics/individuals-statistics</t>
  </si>
  <si>
    <t xml:space="preserve">Rent.com.au — 'How many investment properties do landlords own?' (reproduces ATO Table 27 counts) — rent.com.au/blog/how-many-investment-properties-do-landlords-own</t>
  </si>
  <si>
    <t xml:space="preserve">PropertyUpdate — 'How many Australians own an investment property?' — propertyupdate.com.au/how-many-australians-own-an-investment-property</t>
  </si>
  <si>
    <t xml:space="preserve">IBISWorld — Residential Property Leasing &amp; Management in Australia (11,784 businesses, 2025) — ibisworld.com/au/number-of-businesses/residential-property-leasing-management/5511</t>
  </si>
  <si>
    <t xml:space="preserve">RentBetter — self-management share in Australia — rentbetter.com.au/article/how-many-self-manage-australia</t>
  </si>
  <si>
    <t xml:space="preserve">NZ Tenancy Services / MBIE — rental bond data (410,904 active bonds Nov-2024) — tenancy.govt.nz/about-tenancy-services/data-and-statistics/rental-bond-data</t>
  </si>
  <si>
    <t xml:space="preserve">MBIE — Residential Property Management Regulatory Options (2,096–7,881 PMs; ~42% professionally managed) — hud.govt.nz</t>
  </si>
  <si>
    <t xml:space="preserve">Stats NZ — Housing in Aotearoa — stats.govt.nz</t>
  </si>
  <si>
    <t xml:space="preserve">US HUD/Census — Rental Housing Finance Survey (49.5M units; 15.9M individually-owned 1-4 unit) — census.gov/data/developers/data-sets/rhfs.html</t>
  </si>
  <si>
    <t xml:space="preserve">IBISWorld — Residential Property Managers in the US (238,381 businesses, 2024) — ibisworld.com/united-states/number-of-businesses/residential-property-managers/6136</t>
  </si>
  <si>
    <t xml:space="preserve">Harvard JCHS / Urban Institute — mom-and-pop landlord share of US rental stock — jchs.harvard.edu, urban.org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</si>
</sst>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%"/>
    <numFmt numFmtId="166" formatCode="\$#,##0.00"/>
    <numFmt numFmtId="167" formatCode="#,##0;\(#,##0\);\-"/>
    <numFmt numFmtId="168" formatCode="\$#,##0;&quot;($&quot;#,##0\);\-"/>
    <numFmt numFmtId="169" formatCode="\$#,##0.00"/>
    <numFmt numFmtId="170" formatCode="#,##0;\(#,##0\);\-"/>
    <numFmt numFmtId="171" formatCode="\$#,##0;&quot;($&quot;#,##0\);\-"/>
    <numFmt numFmtId="172" formatCode="0.0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8"/>
      <color rgb="FF595959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8"/>
      <color rgb="FF595959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333333"/>
      <name val="Arial"/>
      <family val="0"/>
      <charset val="1"/>
    </font>
    <font>
      <sz val="10"/>
      <name val="Arial"/>
      <family val="2"/>
    </font>
    <font>
      <i val="true"/>
      <sz val="9"/>
      <color rgb="FFC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1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4" min="4" style="1" width="22"/>
    <col collapsed="false" customWidth="true" hidden="false" outlineLevel="0" max="5" min="5" style="1" width="20"/>
    <col collapsed="false" customWidth="true" hidden="false" outlineLevel="0" max="6" min="6" style="1" width="26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</row>
    <row r="5" customFormat="false" ht="15" hidden="false" customHeight="true" outlineLevel="0" collapsed="false">
      <c r="A5" s="5" t="s">
        <v>3</v>
      </c>
      <c r="B5" s="6" t="n">
        <v>0.5</v>
      </c>
      <c r="C5" s="3" t="s">
        <v>4</v>
      </c>
      <c r="D5" s="3"/>
      <c r="E5" s="3"/>
      <c r="F5" s="3"/>
    </row>
    <row r="6" customFormat="false" ht="15" hidden="false" customHeight="true" outlineLevel="0" collapsed="false">
      <c r="A6" s="5" t="s">
        <v>5</v>
      </c>
      <c r="B6" s="7" t="n">
        <v>3</v>
      </c>
      <c r="C6" s="3" t="s">
        <v>6</v>
      </c>
      <c r="D6" s="3"/>
      <c r="E6" s="3"/>
      <c r="F6" s="3"/>
    </row>
    <row r="8" customFormat="false" ht="30" hidden="false" customHeight="true" outlineLevel="0" collapsed="false">
      <c r="A8" s="8" t="s">
        <v>7</v>
      </c>
      <c r="B8" s="8" t="s">
        <v>8</v>
      </c>
      <c r="C8" s="8" t="s">
        <v>9</v>
      </c>
      <c r="D8" s="8" t="s">
        <v>10</v>
      </c>
      <c r="E8" s="8" t="s">
        <v>11</v>
      </c>
      <c r="F8" s="8" t="s">
        <v>12</v>
      </c>
    </row>
    <row r="9" customFormat="false" ht="15" hidden="false" customHeight="true" outlineLevel="0" collapsed="false">
      <c r="A9" s="5" t="s">
        <v>13</v>
      </c>
      <c r="B9" s="5" t="s">
        <v>14</v>
      </c>
      <c r="C9" s="9" t="n">
        <f aca="false">Australia!B27</f>
        <v>194249.4</v>
      </c>
      <c r="D9" s="9" t="n">
        <f aca="false">Australia!B28</f>
        <v>446440.764</v>
      </c>
      <c r="E9" s="10" t="n">
        <f aca="false">D9*$B$5</f>
        <v>223220.382</v>
      </c>
      <c r="F9" s="11" t="n">
        <f aca="false">E9*$B$6*12</f>
        <v>8035933.752</v>
      </c>
    </row>
    <row r="10" customFormat="false" ht="15" hidden="false" customHeight="true" outlineLevel="0" collapsed="false">
      <c r="A10" s="5" t="s">
        <v>13</v>
      </c>
      <c r="B10" s="5" t="s">
        <v>15</v>
      </c>
      <c r="C10" s="9" t="n">
        <f aca="false">Australia!B33</f>
        <v>11784</v>
      </c>
      <c r="D10" s="9" t="n">
        <f aca="false">Australia!B34</f>
        <v>2030000</v>
      </c>
      <c r="E10" s="10" t="n">
        <f aca="false">D10*$B$5</f>
        <v>1015000</v>
      </c>
      <c r="F10" s="11" t="n">
        <f aca="false">E10*$B$6*12</f>
        <v>36540000</v>
      </c>
    </row>
    <row r="11" customFormat="false" ht="15" hidden="false" customHeight="true" outlineLevel="0" collapsed="false">
      <c r="A11" s="5" t="s">
        <v>16</v>
      </c>
      <c r="B11" s="5" t="s">
        <v>14</v>
      </c>
      <c r="C11" s="9" t="n">
        <f aca="false">'New Zealand'!B20</f>
        <v>43500</v>
      </c>
      <c r="D11" s="9" t="n">
        <f aca="false">'New Zealand'!B21</f>
        <v>174000</v>
      </c>
      <c r="E11" s="10" t="n">
        <f aca="false">D11*$B$5</f>
        <v>87000</v>
      </c>
      <c r="F11" s="11" t="n">
        <f aca="false">E11*$B$6*12</f>
        <v>3132000</v>
      </c>
    </row>
    <row r="12" customFormat="false" ht="15" hidden="false" customHeight="true" outlineLevel="0" collapsed="false">
      <c r="A12" s="5" t="s">
        <v>16</v>
      </c>
      <c r="B12" s="5" t="s">
        <v>15</v>
      </c>
      <c r="C12" s="9" t="n">
        <f aca="false">'New Zealand'!B26</f>
        <v>4000</v>
      </c>
      <c r="D12" s="9" t="n">
        <f aca="false">'New Zealand'!B27</f>
        <v>300000</v>
      </c>
      <c r="E12" s="10" t="n">
        <f aca="false">D12*$B$5</f>
        <v>150000</v>
      </c>
      <c r="F12" s="11" t="n">
        <f aca="false">E12*$B$6*12</f>
        <v>5400000</v>
      </c>
    </row>
    <row r="13" customFormat="false" ht="15" hidden="false" customHeight="true" outlineLevel="0" collapsed="false">
      <c r="A13" s="5" t="s">
        <v>17</v>
      </c>
      <c r="B13" s="5" t="s">
        <v>14</v>
      </c>
      <c r="C13" s="9" t="n">
        <f aca="false">'United States'!B18</f>
        <v>5000000</v>
      </c>
      <c r="D13" s="9" t="n">
        <f aca="false">'United States'!B19</f>
        <v>11925000</v>
      </c>
      <c r="E13" s="10" t="n">
        <f aca="false">D13*$B$5</f>
        <v>5962500</v>
      </c>
      <c r="F13" s="11" t="n">
        <f aca="false">E13*$B$6*12</f>
        <v>214650000</v>
      </c>
    </row>
    <row r="14" customFormat="false" ht="15" hidden="false" customHeight="true" outlineLevel="0" collapsed="false">
      <c r="A14" s="5" t="s">
        <v>17</v>
      </c>
      <c r="B14" s="5" t="s">
        <v>15</v>
      </c>
      <c r="C14" s="9" t="n">
        <f aca="false">'United States'!B24</f>
        <v>238381</v>
      </c>
      <c r="D14" s="9" t="n">
        <f aca="false">'United States'!B25</f>
        <v>22275000</v>
      </c>
      <c r="E14" s="10" t="n">
        <f aca="false">D14*$B$5</f>
        <v>11137500</v>
      </c>
      <c r="F14" s="11" t="n">
        <f aca="false">E14*$B$6*12</f>
        <v>400950000</v>
      </c>
    </row>
    <row r="15" customFormat="false" ht="15" hidden="false" customHeight="true" outlineLevel="0" collapsed="false">
      <c r="A15" s="12" t="s">
        <v>18</v>
      </c>
    </row>
    <row r="16" customFormat="false" ht="15" hidden="false" customHeight="true" outlineLevel="0" collapsed="false">
      <c r="A16" s="13" t="s">
        <v>19</v>
      </c>
      <c r="B16" s="13"/>
      <c r="C16" s="13"/>
      <c r="D16" s="13"/>
      <c r="E16" s="13"/>
      <c r="F16" s="13"/>
    </row>
    <row r="17" customFormat="false" ht="15" hidden="false" customHeight="true" outlineLevel="0" collapsed="false">
      <c r="A17" s="13" t="s">
        <v>20</v>
      </c>
      <c r="B17" s="13"/>
      <c r="C17" s="13"/>
      <c r="D17" s="13"/>
      <c r="E17" s="13"/>
      <c r="F17" s="13"/>
    </row>
    <row r="18" customFormat="false" ht="15" hidden="false" customHeight="true" outlineLevel="0" collapsed="false">
      <c r="A18" s="13" t="s">
        <v>21</v>
      </c>
      <c r="B18" s="13"/>
      <c r="C18" s="13"/>
      <c r="D18" s="13"/>
      <c r="E18" s="13"/>
      <c r="F18" s="13"/>
    </row>
    <row r="19" customFormat="false" ht="15" hidden="false" customHeight="true" outlineLevel="0" collapsed="false">
      <c r="A19" s="13" t="s">
        <v>22</v>
      </c>
      <c r="B19" s="13"/>
      <c r="C19" s="13"/>
      <c r="D19" s="13"/>
      <c r="E19" s="13"/>
      <c r="F19" s="13"/>
    </row>
    <row r="20" customFormat="false" ht="15" hidden="false" customHeight="true" outlineLevel="0" collapsed="false">
      <c r="A20" s="13" t="s">
        <v>23</v>
      </c>
      <c r="B20" s="13"/>
      <c r="C20" s="13"/>
      <c r="D20" s="13"/>
      <c r="E20" s="13"/>
      <c r="F20" s="13"/>
    </row>
  </sheetData>
  <mergeCells count="10">
    <mergeCell ref="A1:F1"/>
    <mergeCell ref="A2:F2"/>
    <mergeCell ref="A4:F4"/>
    <mergeCell ref="C5:F5"/>
    <mergeCell ref="C6:F6"/>
    <mergeCell ref="A16:F16"/>
    <mergeCell ref="A17:F17"/>
    <mergeCell ref="A18:F18"/>
    <mergeCell ref="A19:F19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2" style="0" width="16"/>
  </cols>
  <sheetData>
    <row r="1" customFormat="false" ht="24" hidden="false" customHeight="true" outlineLevel="0" collapsed="false">
      <c r="A1" s="2" t="s">
        <v>24</v>
      </c>
      <c r="B1" s="2"/>
      <c r="C1" s="2"/>
      <c r="D1" s="2"/>
      <c r="E1" s="2"/>
    </row>
    <row r="3" customFormat="false" ht="15" hidden="false" customHeight="false" outlineLevel="0" collapsed="false">
      <c r="A3" s="14" t="s">
        <v>25</v>
      </c>
      <c r="B3" s="14"/>
      <c r="C3" s="14"/>
      <c r="D3" s="14"/>
      <c r="E3" s="14"/>
    </row>
    <row r="4" customFormat="false" ht="15" hidden="false" customHeight="false" outlineLevel="0" collapsed="false">
      <c r="A4" s="5" t="s">
        <v>26</v>
      </c>
      <c r="B4" s="15" t="n">
        <v>5</v>
      </c>
      <c r="C4" s="16" t="s">
        <v>27</v>
      </c>
      <c r="D4" s="16"/>
      <c r="E4" s="16"/>
    </row>
    <row r="5" customFormat="false" ht="15" hidden="false" customHeight="false" outlineLevel="0" collapsed="false">
      <c r="A5" s="5" t="s">
        <v>28</v>
      </c>
      <c r="B5" s="15" t="n">
        <v>4</v>
      </c>
    </row>
    <row r="6" customFormat="false" ht="15" hidden="false" customHeight="false" outlineLevel="0" collapsed="false">
      <c r="A6" s="5" t="s">
        <v>29</v>
      </c>
      <c r="B6" s="15" t="n">
        <v>3</v>
      </c>
    </row>
    <row r="7" customFormat="false" ht="15" hidden="false" customHeight="false" outlineLevel="0" collapsed="false">
      <c r="A7" s="5" t="s">
        <v>30</v>
      </c>
      <c r="B7" s="15" t="n">
        <v>4</v>
      </c>
      <c r="C7" s="16" t="s">
        <v>31</v>
      </c>
      <c r="D7" s="16"/>
      <c r="E7" s="16"/>
    </row>
    <row r="9" customFormat="false" ht="15" hidden="false" customHeight="false" outlineLevel="0" collapsed="false">
      <c r="A9" s="14" t="s">
        <v>32</v>
      </c>
      <c r="B9" s="14"/>
      <c r="C9" s="14"/>
      <c r="D9" s="14"/>
      <c r="E9" s="14"/>
    </row>
    <row r="10" customFormat="false" ht="15" hidden="false" customHeight="false" outlineLevel="0" collapsed="false">
      <c r="A10" s="17"/>
      <c r="B10" s="18" t="s">
        <v>33</v>
      </c>
      <c r="C10" s="18" t="s">
        <v>34</v>
      </c>
      <c r="D10" s="18" t="s">
        <v>35</v>
      </c>
      <c r="E10" s="18" t="s">
        <v>36</v>
      </c>
    </row>
    <row r="11" customFormat="false" ht="15" hidden="false" customHeight="false" outlineLevel="0" collapsed="false">
      <c r="A11" s="19" t="s">
        <v>37</v>
      </c>
      <c r="B11" s="20" t="n">
        <v>5000</v>
      </c>
      <c r="C11" s="20" t="n">
        <v>10000</v>
      </c>
      <c r="D11" s="20" t="n">
        <v>100000</v>
      </c>
      <c r="E11" s="21" t="s">
        <v>38</v>
      </c>
    </row>
    <row r="12" customFormat="false" ht="15" hidden="false" customHeight="false" outlineLevel="0" collapsed="false">
      <c r="A12" s="5" t="s">
        <v>39</v>
      </c>
      <c r="B12" s="22" t="n">
        <f aca="false">B11*$B$7</f>
        <v>20000</v>
      </c>
      <c r="C12" s="22" t="n">
        <f aca="false">C11*$B$7</f>
        <v>40000</v>
      </c>
      <c r="D12" s="22" t="n">
        <f aca="false">D11*$B$7</f>
        <v>400000</v>
      </c>
    </row>
    <row r="13" customFormat="false" ht="15" hidden="false" customHeight="false" outlineLevel="0" collapsed="false">
      <c r="A13" s="19" t="s">
        <v>40</v>
      </c>
      <c r="B13" s="23" t="n">
        <f aca="false">B11*$B$7*12</f>
        <v>240000</v>
      </c>
      <c r="C13" s="23" t="n">
        <f aca="false">C11*$B$7*12</f>
        <v>480000</v>
      </c>
      <c r="D13" s="23" t="n">
        <f aca="false">D11*$B$7*12</f>
        <v>4800000</v>
      </c>
    </row>
    <row r="14" customFormat="false" ht="15" hidden="false" customHeight="false" outlineLevel="0" collapsed="false">
      <c r="A14" s="5" t="s">
        <v>41</v>
      </c>
      <c r="B14" s="22" t="n">
        <f aca="false">B11*$B$4*12</f>
        <v>300000</v>
      </c>
      <c r="C14" s="22" t="n">
        <f aca="false">C11*$B$4*12</f>
        <v>600000</v>
      </c>
      <c r="D14" s="22" t="n">
        <f aca="false">D11*$B$4*12</f>
        <v>6000000</v>
      </c>
    </row>
    <row r="15" customFormat="false" ht="15" hidden="false" customHeight="false" outlineLevel="0" collapsed="false">
      <c r="A15" s="5" t="s">
        <v>42</v>
      </c>
      <c r="B15" s="22" t="n">
        <f aca="false">B11*$B$5*12</f>
        <v>240000</v>
      </c>
      <c r="C15" s="22" t="n">
        <f aca="false">C11*$B$5*12</f>
        <v>480000</v>
      </c>
      <c r="D15" s="22" t="n">
        <f aca="false">D11*$B$5*12</f>
        <v>4800000</v>
      </c>
    </row>
    <row r="16" customFormat="false" ht="15" hidden="false" customHeight="false" outlineLevel="0" collapsed="false">
      <c r="A16" s="5" t="s">
        <v>43</v>
      </c>
      <c r="B16" s="22" t="n">
        <f aca="false">B11*$B$6*12</f>
        <v>180000</v>
      </c>
      <c r="C16" s="22" t="n">
        <f aca="false">C11*$B$6*12</f>
        <v>360000</v>
      </c>
      <c r="D16" s="22" t="n">
        <f aca="false">D11*$B$6*12</f>
        <v>3600000</v>
      </c>
    </row>
    <row r="17" customFormat="false" ht="15" hidden="false" customHeight="false" outlineLevel="0" collapsed="false">
      <c r="A17" s="5" t="s">
        <v>44</v>
      </c>
      <c r="B17" s="24" t="n">
        <f aca="false">B11/'SE Queensland'!B20</f>
        <v>0.0158276683470375</v>
      </c>
      <c r="C17" s="24" t="n">
        <f aca="false">C11/'SE Queensland'!C20</f>
        <v>0.0216817374616951</v>
      </c>
      <c r="D17" s="24" t="n">
        <f aca="false">D11/Australia!B17</f>
        <v>0.0344827586206897</v>
      </c>
    </row>
    <row r="18" customFormat="false" ht="15" hidden="false" customHeight="false" outlineLevel="0" collapsed="false">
      <c r="A18" s="5" t="s">
        <v>45</v>
      </c>
      <c r="B18" s="24" t="n">
        <f aca="false">B11/'SE Queensland'!B25</f>
        <v>0.103448812725735</v>
      </c>
      <c r="C18" s="24" t="n">
        <f aca="false">C11/'SE Queensland'!C25</f>
        <v>0.141710702364021</v>
      </c>
      <c r="D18" s="24" t="n">
        <f aca="false">D11/Australia!B28</f>
        <v>0.223993882422439</v>
      </c>
    </row>
    <row r="19" customFormat="false" ht="15" hidden="false" customHeight="false" outlineLevel="0" collapsed="false">
      <c r="A19" s="16" t="s">
        <v>46</v>
      </c>
      <c r="B19" s="16"/>
      <c r="C19" s="16"/>
      <c r="D19" s="16"/>
      <c r="E19" s="16"/>
    </row>
    <row r="21" customFormat="false" ht="15" hidden="false" customHeight="false" outlineLevel="0" collapsed="false">
      <c r="A21" s="14" t="s">
        <v>47</v>
      </c>
      <c r="B21" s="14"/>
      <c r="C21" s="14"/>
      <c r="D21" s="14"/>
      <c r="E21" s="14"/>
    </row>
    <row r="22" customFormat="false" ht="15" hidden="false" customHeight="false" outlineLevel="0" collapsed="false">
      <c r="A22" s="25" t="s">
        <v>48</v>
      </c>
      <c r="B22" s="18" t="s">
        <v>49</v>
      </c>
      <c r="C22" s="25" t="s">
        <v>50</v>
      </c>
      <c r="D22" s="25"/>
      <c r="E22" s="25"/>
    </row>
    <row r="23" customFormat="false" ht="15" hidden="false" customHeight="true" outlineLevel="0" collapsed="false">
      <c r="A23" s="26" t="s">
        <v>51</v>
      </c>
      <c r="B23" s="27" t="n">
        <f aca="false">B4</f>
        <v>5</v>
      </c>
      <c r="C23" s="28" t="s">
        <v>52</v>
      </c>
      <c r="D23" s="28"/>
      <c r="E23" s="28"/>
    </row>
    <row r="24" customFormat="false" ht="15" hidden="false" customHeight="true" outlineLevel="0" collapsed="false">
      <c r="A24" s="26" t="s">
        <v>53</v>
      </c>
      <c r="B24" s="27" t="n">
        <f aca="false">B5</f>
        <v>4</v>
      </c>
      <c r="C24" s="28" t="s">
        <v>54</v>
      </c>
      <c r="D24" s="28"/>
      <c r="E24" s="28"/>
    </row>
    <row r="25" customFormat="false" ht="15" hidden="false" customHeight="true" outlineLevel="0" collapsed="false">
      <c r="A25" s="26" t="s">
        <v>55</v>
      </c>
      <c r="B25" s="27" t="n">
        <f aca="false">B6</f>
        <v>3</v>
      </c>
      <c r="C25" s="28" t="s">
        <v>56</v>
      </c>
      <c r="D25" s="28"/>
      <c r="E25" s="28"/>
    </row>
    <row r="26" customFormat="false" ht="15" hidden="false" customHeight="true" outlineLevel="0" collapsed="false">
      <c r="A26" s="29" t="s">
        <v>57</v>
      </c>
      <c r="B26" s="30" t="n">
        <v>32</v>
      </c>
      <c r="C26" s="28" t="s">
        <v>58</v>
      </c>
      <c r="D26" s="28"/>
      <c r="E26" s="28"/>
    </row>
    <row r="27" customFormat="false" ht="15" hidden="false" customHeight="true" outlineLevel="0" collapsed="false">
      <c r="A27" s="29" t="s">
        <v>59</v>
      </c>
      <c r="B27" s="30" t="n">
        <v>20</v>
      </c>
      <c r="C27" s="28" t="s">
        <v>60</v>
      </c>
      <c r="D27" s="28"/>
      <c r="E27" s="28"/>
    </row>
    <row r="28" customFormat="false" ht="15" hidden="false" customHeight="true" outlineLevel="0" collapsed="false">
      <c r="A28" s="29" t="s">
        <v>61</v>
      </c>
      <c r="B28" s="30" t="n">
        <v>8.8</v>
      </c>
      <c r="C28" s="28" t="s">
        <v>62</v>
      </c>
      <c r="D28" s="28"/>
      <c r="E28" s="28"/>
    </row>
    <row r="29" customFormat="false" ht="19.4" hidden="false" customHeight="true" outlineLevel="0" collapsed="false">
      <c r="A29" s="29" t="s">
        <v>63</v>
      </c>
      <c r="B29" s="30" t="n">
        <v>6.9</v>
      </c>
      <c r="C29" s="28" t="s">
        <v>64</v>
      </c>
      <c r="D29" s="28"/>
      <c r="E29" s="28"/>
    </row>
    <row r="30" customFormat="false" ht="15" hidden="false" customHeight="true" outlineLevel="0" collapsed="false">
      <c r="A30" s="29" t="s">
        <v>65</v>
      </c>
      <c r="B30" s="30" t="n">
        <v>2.9</v>
      </c>
      <c r="C30" s="28" t="s">
        <v>66</v>
      </c>
      <c r="D30" s="28"/>
      <c r="E30" s="28"/>
    </row>
    <row r="31" customFormat="false" ht="15" hidden="false" customHeight="true" outlineLevel="0" collapsed="false">
      <c r="A31" s="29" t="s">
        <v>67</v>
      </c>
      <c r="B31" s="30" t="n">
        <v>4.33</v>
      </c>
      <c r="C31" s="28" t="s">
        <v>68</v>
      </c>
      <c r="D31" s="28"/>
      <c r="E31" s="28"/>
    </row>
    <row r="32" customFormat="false" ht="15" hidden="false" customHeight="true" outlineLevel="0" collapsed="false">
      <c r="A32" s="29" t="s">
        <v>69</v>
      </c>
      <c r="B32" s="30" t="n">
        <v>2</v>
      </c>
      <c r="C32" s="28" t="s">
        <v>70</v>
      </c>
      <c r="D32" s="28"/>
      <c r="E32" s="28"/>
    </row>
    <row r="33" customFormat="false" ht="15" hidden="false" customHeight="true" outlineLevel="0" collapsed="false">
      <c r="A33" s="29" t="s">
        <v>71</v>
      </c>
      <c r="B33" s="30" t="n">
        <v>18</v>
      </c>
      <c r="C33" s="28" t="s">
        <v>72</v>
      </c>
      <c r="D33" s="28"/>
      <c r="E33" s="28"/>
    </row>
    <row r="34" customFormat="false" ht="30" hidden="false" customHeight="true" outlineLevel="0" collapsed="false">
      <c r="A34" s="31" t="s">
        <v>73</v>
      </c>
      <c r="B34" s="31"/>
      <c r="C34" s="31"/>
      <c r="D34" s="31"/>
      <c r="E34" s="31"/>
    </row>
  </sheetData>
  <mergeCells count="20">
    <mergeCell ref="A1:E1"/>
    <mergeCell ref="A3:E3"/>
    <mergeCell ref="C4:E4"/>
    <mergeCell ref="C7:E7"/>
    <mergeCell ref="A9:E9"/>
    <mergeCell ref="A19:E19"/>
    <mergeCell ref="A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A34:E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8"/>
    <col collapsed="false" customWidth="true" hidden="false" outlineLevel="0" max="4" min="2" style="1" width="17"/>
    <col collapsed="false" customWidth="true" hidden="false" outlineLevel="0" max="5" min="5" style="1" width="40"/>
  </cols>
  <sheetData>
    <row r="1" customFormat="false" ht="24" hidden="false" customHeight="true" outlineLevel="0" collapsed="false">
      <c r="A1" s="2" t="s">
        <v>74</v>
      </c>
      <c r="B1" s="2"/>
      <c r="C1" s="2"/>
      <c r="D1" s="2"/>
      <c r="E1" s="2"/>
    </row>
    <row r="2" customFormat="false" ht="27.75" hidden="false" customHeight="true" outlineLevel="0" collapsed="false">
      <c r="A2" s="3" t="s">
        <v>75</v>
      </c>
      <c r="B2" s="3"/>
      <c r="C2" s="3"/>
      <c r="D2" s="3"/>
      <c r="E2" s="3"/>
    </row>
    <row r="4" customFormat="false" ht="15" hidden="false" customHeight="true" outlineLevel="0" collapsed="false">
      <c r="A4" s="14" t="s">
        <v>76</v>
      </c>
      <c r="B4" s="14"/>
      <c r="C4" s="14"/>
      <c r="D4" s="14"/>
      <c r="E4" s="14"/>
    </row>
    <row r="5" customFormat="false" ht="15" hidden="false" customHeight="true" outlineLevel="0" collapsed="false">
      <c r="A5" s="5" t="s">
        <v>77</v>
      </c>
      <c r="B5" s="32" t="n">
        <v>631805</v>
      </c>
      <c r="E5" s="33" t="s">
        <v>78</v>
      </c>
    </row>
    <row r="6" customFormat="false" ht="18.75" hidden="false" customHeight="true" outlineLevel="0" collapsed="false">
      <c r="A6" s="5" t="s">
        <v>79</v>
      </c>
      <c r="B6" s="34" t="n">
        <v>0.5</v>
      </c>
      <c r="E6" s="33" t="s">
        <v>80</v>
      </c>
    </row>
    <row r="7" customFormat="false" ht="18.75" hidden="false" customHeight="true" outlineLevel="0" collapsed="false">
      <c r="A7" s="5" t="s">
        <v>81</v>
      </c>
      <c r="B7" s="34" t="n">
        <v>0.73</v>
      </c>
      <c r="E7" s="33" t="s">
        <v>82</v>
      </c>
    </row>
    <row r="8" customFormat="false" ht="15" hidden="false" customHeight="true" outlineLevel="0" collapsed="false">
      <c r="A8" s="5" t="s">
        <v>83</v>
      </c>
      <c r="B8" s="24" t="n">
        <f aca="false">Australia!B18</f>
        <v>0.3</v>
      </c>
      <c r="E8" s="33" t="s">
        <v>84</v>
      </c>
    </row>
    <row r="9" customFormat="false" ht="18.75" hidden="false" customHeight="true" outlineLevel="0" collapsed="false">
      <c r="A9" s="5" t="s">
        <v>85</v>
      </c>
      <c r="B9" s="34" t="n">
        <v>0.51</v>
      </c>
      <c r="E9" s="33" t="s">
        <v>86</v>
      </c>
    </row>
    <row r="10" customFormat="false" ht="15" hidden="false" customHeight="true" outlineLevel="0" collapsed="false">
      <c r="A10" s="5" t="s">
        <v>87</v>
      </c>
      <c r="B10" s="35" t="n">
        <f aca="false">Australia!B25</f>
        <v>2.29828645030564</v>
      </c>
      <c r="E10" s="33" t="s">
        <v>88</v>
      </c>
    </row>
    <row r="11" customFormat="false" ht="15" hidden="false" customHeight="true" outlineLevel="0" collapsed="false">
      <c r="A11" s="5" t="s">
        <v>89</v>
      </c>
      <c r="B11" s="36" t="n">
        <f aca="false">1-B8</f>
        <v>0.7</v>
      </c>
      <c r="E11" s="33" t="s">
        <v>90</v>
      </c>
    </row>
    <row r="12" customFormat="false" ht="18.75" hidden="false" customHeight="true" outlineLevel="0" collapsed="false">
      <c r="A12" s="5" t="s">
        <v>91</v>
      </c>
      <c r="B12" s="37" t="n">
        <v>600</v>
      </c>
      <c r="E12" s="33" t="s">
        <v>92</v>
      </c>
    </row>
    <row r="13" customFormat="false" ht="15" hidden="false" customHeight="true" outlineLevel="0" collapsed="false">
      <c r="A13" s="5" t="s">
        <v>93</v>
      </c>
      <c r="B13" s="34" t="n">
        <v>0.075</v>
      </c>
      <c r="E13" s="33" t="s">
        <v>94</v>
      </c>
    </row>
    <row r="14" customFormat="false" ht="15" hidden="false" customHeight="true" outlineLevel="0" collapsed="false">
      <c r="A14" s="5" t="s">
        <v>95</v>
      </c>
      <c r="B14" s="32" t="n">
        <v>3</v>
      </c>
      <c r="E14" s="33" t="s">
        <v>96</v>
      </c>
    </row>
    <row r="15" customFormat="false" ht="18.75" hidden="false" customHeight="true" outlineLevel="0" collapsed="false">
      <c r="A15" s="5" t="s">
        <v>97</v>
      </c>
      <c r="B15" s="32" t="n">
        <v>87000</v>
      </c>
      <c r="E15" s="33" t="s">
        <v>98</v>
      </c>
    </row>
    <row r="16" customFormat="false" ht="18.75" hidden="false" customHeight="true" outlineLevel="0" collapsed="false">
      <c r="A16" s="5" t="s">
        <v>99</v>
      </c>
      <c r="B16" s="34" t="n">
        <v>0.4</v>
      </c>
      <c r="E16" s="33" t="s">
        <v>100</v>
      </c>
    </row>
    <row r="18" customFormat="false" ht="18" hidden="false" customHeight="true" outlineLevel="0" collapsed="false">
      <c r="A18" s="17"/>
      <c r="B18" s="38" t="s">
        <v>101</v>
      </c>
      <c r="C18" s="38" t="s">
        <v>34</v>
      </c>
      <c r="D18" s="38" t="s">
        <v>102</v>
      </c>
      <c r="E18" s="39"/>
    </row>
    <row r="19" customFormat="false" ht="15" hidden="false" customHeight="true" outlineLevel="0" collapsed="false">
      <c r="A19" s="14" t="s">
        <v>103</v>
      </c>
      <c r="B19" s="14"/>
      <c r="C19" s="14"/>
      <c r="D19" s="14"/>
      <c r="E19" s="14"/>
    </row>
    <row r="20" customFormat="false" ht="15" hidden="false" customHeight="true" outlineLevel="0" collapsed="false">
      <c r="A20" s="40" t="s">
        <v>104</v>
      </c>
      <c r="B20" s="41" t="n">
        <f aca="false">$B$5*$B$6</f>
        <v>315902.5</v>
      </c>
      <c r="C20" s="41" t="n">
        <f aca="false">$B$5*$B$7</f>
        <v>461217.65</v>
      </c>
      <c r="D20" s="41" t="n">
        <f aca="false">$B$5</f>
        <v>631805</v>
      </c>
    </row>
    <row r="21" customFormat="false" ht="15" hidden="false" customHeight="true" outlineLevel="0" collapsed="false">
      <c r="A21" s="42" t="s">
        <v>105</v>
      </c>
      <c r="B21" s="10" t="n">
        <f aca="false">B20*$B$8</f>
        <v>94770.75</v>
      </c>
      <c r="C21" s="10" t="n">
        <f aca="false">C20*$B$8</f>
        <v>138365.295</v>
      </c>
      <c r="D21" s="10" t="n">
        <f aca="false">D20*$B$8</f>
        <v>189541.5</v>
      </c>
    </row>
    <row r="22" customFormat="false" ht="15" hidden="false" customHeight="true" outlineLevel="0" collapsed="false">
      <c r="A22" s="42" t="s">
        <v>106</v>
      </c>
      <c r="B22" s="10" t="n">
        <f aca="false">B20*$B$11</f>
        <v>221131.75</v>
      </c>
      <c r="C22" s="10" t="n">
        <f aca="false">C20*$B$11</f>
        <v>322852.355</v>
      </c>
      <c r="D22" s="10" t="n">
        <f aca="false">D20*$B$11</f>
        <v>442263.5</v>
      </c>
    </row>
    <row r="23" customFormat="false" ht="15" hidden="false" customHeight="true" outlineLevel="0" collapsed="false">
      <c r="A23" s="14" t="s">
        <v>107</v>
      </c>
      <c r="B23" s="14"/>
      <c r="C23" s="14"/>
      <c r="D23" s="14"/>
      <c r="E23" s="14"/>
    </row>
    <row r="24" customFormat="false" ht="15" hidden="false" customHeight="true" outlineLevel="0" collapsed="false">
      <c r="A24" s="40" t="s">
        <v>108</v>
      </c>
      <c r="B24" s="43" t="n">
        <f aca="false">B20*$B$9*$B$8/$B$10</f>
        <v>21030.0515384287</v>
      </c>
      <c r="C24" s="43" t="n">
        <f aca="false">C20*$B$9*$B$8/$B$10</f>
        <v>30703.875246106</v>
      </c>
      <c r="D24" s="43" t="n">
        <f aca="false">D20*$B$9*$B$8/$B$10</f>
        <v>42060.1030768575</v>
      </c>
    </row>
    <row r="25" customFormat="false" ht="15" hidden="false" customHeight="true" outlineLevel="0" collapsed="false">
      <c r="A25" s="40" t="s">
        <v>109</v>
      </c>
      <c r="B25" s="41" t="n">
        <f aca="false">B20*$B$9*$B$8</f>
        <v>48333.0825</v>
      </c>
      <c r="C25" s="41" t="n">
        <f aca="false">C20*$B$9*$B$8</f>
        <v>70566.30045</v>
      </c>
      <c r="D25" s="41" t="n">
        <f aca="false">D20*$B$9*$B$8</f>
        <v>96666.165</v>
      </c>
    </row>
    <row r="26" customFormat="false" ht="18.75" hidden="false" customHeight="true" outlineLevel="0" collapsed="false">
      <c r="A26" s="42" t="s">
        <v>110</v>
      </c>
      <c r="B26" s="44" t="n">
        <f aca="false">B25*Summary!$B$5</f>
        <v>24166.54125</v>
      </c>
      <c r="C26" s="44" t="n">
        <f aca="false">C25*Summary!$B$5</f>
        <v>35283.150225</v>
      </c>
      <c r="D26" s="44" t="n">
        <f aca="false">D25*Summary!$B$5</f>
        <v>48333.0825</v>
      </c>
      <c r="E26" s="33" t="s">
        <v>111</v>
      </c>
    </row>
    <row r="27" customFormat="false" ht="18.75" hidden="false" customHeight="true" outlineLevel="0" collapsed="false">
      <c r="A27" s="42" t="s">
        <v>112</v>
      </c>
      <c r="B27" s="32" t="n">
        <v>1120</v>
      </c>
      <c r="C27" s="32" t="n">
        <v>1540</v>
      </c>
      <c r="D27" s="32" t="n">
        <v>2110</v>
      </c>
      <c r="E27" s="33" t="s">
        <v>113</v>
      </c>
    </row>
    <row r="28" customFormat="false" ht="15" hidden="false" customHeight="true" outlineLevel="0" collapsed="false">
      <c r="A28" s="14" t="s">
        <v>114</v>
      </c>
      <c r="B28" s="14"/>
      <c r="C28" s="14"/>
      <c r="D28" s="14"/>
      <c r="E28" s="14"/>
    </row>
    <row r="29" customFormat="false" ht="15" hidden="false" customHeight="true" outlineLevel="0" collapsed="false">
      <c r="A29" s="42" t="s">
        <v>115</v>
      </c>
      <c r="B29" s="45" t="n">
        <f aca="false">B20*$B$14</f>
        <v>947707.5</v>
      </c>
      <c r="C29" s="45" t="n">
        <f aca="false">C20*$B$14</f>
        <v>1383652.95</v>
      </c>
      <c r="D29" s="45" t="n">
        <f aca="false">D20*$B$14</f>
        <v>1895415</v>
      </c>
      <c r="E29" s="33" t="s">
        <v>116</v>
      </c>
    </row>
    <row r="30" customFormat="false" ht="15" hidden="false" customHeight="true" outlineLevel="0" collapsed="false">
      <c r="A30" s="40" t="s">
        <v>117</v>
      </c>
      <c r="B30" s="46" t="n">
        <f aca="false">B20*$B$12*52*$B$13</f>
        <v>739211850</v>
      </c>
      <c r="C30" s="46" t="n">
        <f aca="false">C20*$B$12*52*$B$13</f>
        <v>1079249301</v>
      </c>
      <c r="D30" s="46" t="n">
        <f aca="false">D20*$B$12*52*$B$13</f>
        <v>1478423700</v>
      </c>
      <c r="E30" s="33" t="s">
        <v>118</v>
      </c>
    </row>
    <row r="31" customFormat="false" ht="15" hidden="false" customHeight="true" outlineLevel="0" collapsed="false">
      <c r="A31" s="42" t="s">
        <v>119</v>
      </c>
      <c r="B31" s="10" t="n">
        <f aca="false">$B$15*$B$6</f>
        <v>43500</v>
      </c>
      <c r="C31" s="10" t="n">
        <f aca="false">$B$15*$B$7</f>
        <v>63510</v>
      </c>
      <c r="D31" s="10" t="n">
        <f aca="false">$B$15</f>
        <v>87000</v>
      </c>
    </row>
    <row r="32" customFormat="false" ht="18.75" hidden="false" customHeight="true" outlineLevel="0" collapsed="false">
      <c r="A32" s="42" t="s">
        <v>120</v>
      </c>
      <c r="B32" s="45" t="n">
        <f aca="false">B31*$B$16</f>
        <v>17400</v>
      </c>
      <c r="C32" s="45" t="n">
        <f aca="false">C31*$B$16</f>
        <v>25404</v>
      </c>
      <c r="D32" s="45" t="n">
        <f aca="false">D31*$B$16</f>
        <v>34800</v>
      </c>
      <c r="E32" s="33" t="s">
        <v>121</v>
      </c>
    </row>
    <row r="33" customFormat="false" ht="18.75" hidden="false" customHeight="true" outlineLevel="0" collapsed="false">
      <c r="A33" s="40" t="s">
        <v>122</v>
      </c>
      <c r="B33" s="47" t="n">
        <f aca="false">B26*$B$14</f>
        <v>72499.62375</v>
      </c>
      <c r="C33" s="47" t="n">
        <f aca="false">C26*$B$14</f>
        <v>105849.450675</v>
      </c>
      <c r="D33" s="47" t="n">
        <f aca="false">D26*$B$14</f>
        <v>144999.2475</v>
      </c>
      <c r="E33" s="33" t="s">
        <v>123</v>
      </c>
    </row>
    <row r="35" customFormat="false" ht="15" hidden="false" customHeight="true" outlineLevel="0" collapsed="false">
      <c r="A35" s="14" t="s">
        <v>124</v>
      </c>
      <c r="B35" s="14"/>
      <c r="C35" s="14"/>
      <c r="D35" s="14"/>
      <c r="E35" s="14"/>
    </row>
    <row r="36" customFormat="false" ht="25.5" hidden="false" customHeight="true" outlineLevel="0" collapsed="false">
      <c r="A36" s="48" t="s">
        <v>125</v>
      </c>
      <c r="B36" s="48"/>
      <c r="C36" s="48"/>
      <c r="D36" s="48"/>
      <c r="E36" s="48"/>
    </row>
    <row r="37" customFormat="false" ht="25.5" hidden="false" customHeight="true" outlineLevel="0" collapsed="false">
      <c r="A37" s="48" t="s">
        <v>126</v>
      </c>
      <c r="B37" s="48"/>
      <c r="C37" s="48"/>
      <c r="D37" s="48"/>
      <c r="E37" s="48"/>
    </row>
    <row r="38" customFormat="false" ht="25.5" hidden="false" customHeight="true" outlineLevel="0" collapsed="false">
      <c r="A38" s="48" t="s">
        <v>127</v>
      </c>
      <c r="B38" s="48"/>
      <c r="C38" s="48"/>
      <c r="D38" s="48"/>
      <c r="E38" s="48"/>
    </row>
    <row r="39" customFormat="false" ht="25.5" hidden="false" customHeight="true" outlineLevel="0" collapsed="false">
      <c r="A39" s="48" t="s">
        <v>128</v>
      </c>
      <c r="B39" s="48"/>
      <c r="C39" s="48"/>
      <c r="D39" s="48"/>
      <c r="E39" s="48"/>
    </row>
    <row r="40" customFormat="false" ht="25.5" hidden="false" customHeight="true" outlineLevel="0" collapsed="false">
      <c r="A40" s="48" t="s">
        <v>129</v>
      </c>
      <c r="B40" s="48"/>
      <c r="C40" s="48"/>
      <c r="D40" s="48"/>
      <c r="E40" s="48"/>
    </row>
    <row r="42" customFormat="false" ht="25.5" hidden="false" customHeight="true" outlineLevel="0" collapsed="false">
      <c r="A42" s="49" t="s">
        <v>130</v>
      </c>
      <c r="B42" s="49"/>
      <c r="C42" s="49"/>
      <c r="D42" s="49"/>
      <c r="E42" s="49"/>
    </row>
  </sheetData>
  <mergeCells count="13">
    <mergeCell ref="A1:E1"/>
    <mergeCell ref="A2:E2"/>
    <mergeCell ref="A4:E4"/>
    <mergeCell ref="A19:E19"/>
    <mergeCell ref="A23:E23"/>
    <mergeCell ref="A28:E28"/>
    <mergeCell ref="A35:E35"/>
    <mergeCell ref="A36:E36"/>
    <mergeCell ref="A37:E37"/>
    <mergeCell ref="A38:E38"/>
    <mergeCell ref="A39:E39"/>
    <mergeCell ref="A40:E40"/>
    <mergeCell ref="A42:E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3" min="2" style="1" width="26"/>
    <col collapsed="false" customWidth="true" hidden="false" outlineLevel="0" max="4" min="4" style="1" width="22"/>
    <col collapsed="false" customWidth="true" hidden="false" outlineLevel="0" max="5" min="5" style="1" width="20"/>
    <col collapsed="false" customWidth="true" hidden="false" outlineLevel="0" max="6" min="6" style="1" width="22"/>
  </cols>
  <sheetData>
    <row r="1" customFormat="false" ht="24" hidden="false" customHeight="true" outlineLevel="0" collapsed="false">
      <c r="A1" s="2" t="s">
        <v>131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50" t="s">
        <v>132</v>
      </c>
      <c r="B2" s="50"/>
      <c r="C2" s="50"/>
      <c r="D2" s="50"/>
      <c r="E2" s="50"/>
      <c r="F2" s="50"/>
    </row>
    <row r="4" customFormat="false" ht="15" hidden="false" customHeight="true" outlineLevel="0" collapsed="false">
      <c r="A4" s="14" t="s">
        <v>133</v>
      </c>
      <c r="B4" s="14"/>
      <c r="C4" s="14"/>
      <c r="D4" s="14"/>
      <c r="E4" s="14"/>
      <c r="F4" s="14"/>
    </row>
    <row r="5" customFormat="false" ht="15" hidden="false" customHeight="true" outlineLevel="0" collapsed="false">
      <c r="A5" s="5"/>
      <c r="B5" s="51" t="s">
        <v>134</v>
      </c>
      <c r="C5" s="52" t="s">
        <v>135</v>
      </c>
    </row>
    <row r="6" customFormat="false" ht="15" hidden="false" customHeight="true" outlineLevel="0" collapsed="false">
      <c r="A6" s="40" t="s">
        <v>136</v>
      </c>
      <c r="B6" s="53" t="s">
        <v>137</v>
      </c>
      <c r="C6" s="54" t="s">
        <v>138</v>
      </c>
    </row>
    <row r="7" customFormat="false" ht="15" hidden="false" customHeight="true" outlineLevel="0" collapsed="false">
      <c r="A7" s="40" t="s">
        <v>139</v>
      </c>
      <c r="B7" s="53" t="s">
        <v>140</v>
      </c>
      <c r="C7" s="54" t="s">
        <v>141</v>
      </c>
    </row>
    <row r="8" customFormat="false" ht="21.75" hidden="false" customHeight="true" outlineLevel="0" collapsed="false">
      <c r="A8" s="40" t="s">
        <v>142</v>
      </c>
      <c r="B8" s="53" t="s">
        <v>143</v>
      </c>
      <c r="C8" s="54" t="s">
        <v>144</v>
      </c>
    </row>
    <row r="9" customFormat="false" ht="21.75" hidden="false" customHeight="true" outlineLevel="0" collapsed="false">
      <c r="A9" s="40" t="s">
        <v>145</v>
      </c>
      <c r="B9" s="53" t="s">
        <v>146</v>
      </c>
      <c r="C9" s="54" t="s">
        <v>147</v>
      </c>
    </row>
    <row r="10" customFormat="false" ht="15" hidden="false" customHeight="true" outlineLevel="0" collapsed="false">
      <c r="A10" s="40" t="s">
        <v>148</v>
      </c>
      <c r="B10" s="53" t="s">
        <v>149</v>
      </c>
      <c r="C10" s="54" t="s">
        <v>150</v>
      </c>
    </row>
    <row r="11" customFormat="false" ht="21.75" hidden="false" customHeight="true" outlineLevel="0" collapsed="false">
      <c r="A11" s="40" t="s">
        <v>151</v>
      </c>
      <c r="B11" s="53" t="s">
        <v>152</v>
      </c>
      <c r="C11" s="54" t="s">
        <v>153</v>
      </c>
    </row>
    <row r="12" customFormat="false" ht="15" hidden="false" customHeight="true" outlineLevel="0" collapsed="false">
      <c r="A12" s="40" t="s">
        <v>154</v>
      </c>
      <c r="B12" s="53" t="s">
        <v>155</v>
      </c>
      <c r="C12" s="54" t="s">
        <v>156</v>
      </c>
    </row>
    <row r="13" customFormat="false" ht="15" hidden="false" customHeight="true" outlineLevel="0" collapsed="false">
      <c r="A13" s="40" t="s">
        <v>157</v>
      </c>
      <c r="B13" s="53" t="s">
        <v>158</v>
      </c>
      <c r="C13" s="54" t="s">
        <v>159</v>
      </c>
    </row>
    <row r="14" customFormat="false" ht="21.75" hidden="false" customHeight="true" outlineLevel="0" collapsed="false">
      <c r="A14" s="40" t="s">
        <v>160</v>
      </c>
      <c r="B14" s="53" t="s">
        <v>161</v>
      </c>
      <c r="C14" s="54" t="s">
        <v>162</v>
      </c>
    </row>
    <row r="15" customFormat="false" ht="21.75" hidden="false" customHeight="true" outlineLevel="0" collapsed="false">
      <c r="A15" s="40" t="s">
        <v>163</v>
      </c>
      <c r="B15" s="53" t="s">
        <v>164</v>
      </c>
      <c r="C15" s="54" t="s">
        <v>165</v>
      </c>
    </row>
    <row r="17" customFormat="false" ht="15" hidden="false" customHeight="true" outlineLevel="0" collapsed="false">
      <c r="A17" s="14" t="s">
        <v>166</v>
      </c>
      <c r="B17" s="14"/>
      <c r="C17" s="14"/>
      <c r="D17" s="14"/>
      <c r="E17" s="14"/>
      <c r="F17" s="14"/>
    </row>
    <row r="18" customFormat="false" ht="15" hidden="false" customHeight="true" outlineLevel="0" collapsed="false">
      <c r="A18" s="5" t="s">
        <v>167</v>
      </c>
      <c r="B18" s="55" t="n">
        <f aca="false">Summary!B6</f>
        <v>3</v>
      </c>
      <c r="C18" s="3" t="s">
        <v>168</v>
      </c>
      <c r="D18" s="3"/>
      <c r="E18" s="3"/>
      <c r="F18" s="3"/>
    </row>
    <row r="19" customFormat="false" ht="15" hidden="false" customHeight="true" outlineLevel="0" collapsed="false">
      <c r="A19" s="5" t="s">
        <v>169</v>
      </c>
      <c r="B19" s="7" t="n">
        <v>3.5</v>
      </c>
      <c r="C19" s="3" t="s">
        <v>170</v>
      </c>
      <c r="D19" s="3"/>
      <c r="E19" s="3"/>
      <c r="F19" s="3"/>
    </row>
    <row r="20" customFormat="false" ht="15" hidden="false" customHeight="true" outlineLevel="0" collapsed="false">
      <c r="A20" s="5" t="s">
        <v>171</v>
      </c>
      <c r="B20" s="56" t="n">
        <v>150</v>
      </c>
      <c r="C20" s="3" t="s">
        <v>172</v>
      </c>
      <c r="D20" s="3"/>
      <c r="E20" s="3"/>
      <c r="F20" s="3"/>
    </row>
    <row r="21" customFormat="false" ht="15" hidden="false" customHeight="true" outlineLevel="0" collapsed="false">
      <c r="A21" s="5" t="s">
        <v>173</v>
      </c>
      <c r="B21" s="56" t="n">
        <v>2500</v>
      </c>
      <c r="C21" s="3" t="s">
        <v>174</v>
      </c>
      <c r="D21" s="3"/>
      <c r="E21" s="3"/>
      <c r="F21" s="3"/>
    </row>
    <row r="22" customFormat="false" ht="15" hidden="false" customHeight="true" outlineLevel="0" collapsed="false">
      <c r="A22" s="5" t="s">
        <v>175</v>
      </c>
      <c r="B22" s="56" t="n">
        <v>0</v>
      </c>
      <c r="C22" s="3" t="s">
        <v>176</v>
      </c>
      <c r="D22" s="3"/>
      <c r="E22" s="3"/>
      <c r="F22" s="3"/>
    </row>
    <row r="24" customFormat="false" ht="15" hidden="false" customHeight="true" outlineLevel="0" collapsed="false">
      <c r="A24" s="14" t="s">
        <v>177</v>
      </c>
      <c r="B24" s="14"/>
      <c r="C24" s="14"/>
      <c r="D24" s="14"/>
      <c r="E24" s="14"/>
      <c r="F24" s="14"/>
    </row>
    <row r="25" customFormat="false" ht="42" hidden="false" customHeight="true" outlineLevel="0" collapsed="false">
      <c r="A25" s="38" t="s">
        <v>178</v>
      </c>
      <c r="B25" s="38" t="s">
        <v>179</v>
      </c>
      <c r="C25" s="38" t="s">
        <v>180</v>
      </c>
      <c r="D25" s="38" t="s">
        <v>181</v>
      </c>
      <c r="E25" s="38" t="s">
        <v>182</v>
      </c>
      <c r="F25" s="38" t="s">
        <v>183</v>
      </c>
    </row>
    <row r="26" customFormat="false" ht="15" hidden="false" customHeight="true" outlineLevel="0" collapsed="false">
      <c r="A26" s="57" t="n">
        <v>5</v>
      </c>
      <c r="B26" s="58" t="n">
        <f aca="false">A26*$B$18*12</f>
        <v>180</v>
      </c>
      <c r="C26" s="59" t="n">
        <f aca="false">MAX(A26*$B$19,$B$20)*12</f>
        <v>1800</v>
      </c>
      <c r="D26" s="59" t="n">
        <f aca="false">C26+$B$21</f>
        <v>4300</v>
      </c>
      <c r="E26" s="60" t="n">
        <f aca="false">B26/A26/12</f>
        <v>3</v>
      </c>
      <c r="F26" s="60" t="n">
        <f aca="false">D26/A26/12</f>
        <v>71.6666666666667</v>
      </c>
    </row>
    <row r="27" customFormat="false" ht="15" hidden="false" customHeight="true" outlineLevel="0" collapsed="false">
      <c r="A27" s="57" t="n">
        <v>10</v>
      </c>
      <c r="B27" s="58" t="n">
        <f aca="false">A27*$B$18*12</f>
        <v>360</v>
      </c>
      <c r="C27" s="59" t="n">
        <f aca="false">MAX(A27*$B$19,$B$20)*12</f>
        <v>1800</v>
      </c>
      <c r="D27" s="59" t="n">
        <f aca="false">C27+$B$21</f>
        <v>4300</v>
      </c>
      <c r="E27" s="60" t="n">
        <f aca="false">B27/A27/12</f>
        <v>3</v>
      </c>
      <c r="F27" s="60" t="n">
        <f aca="false">D27/A27/12</f>
        <v>35.8333333333333</v>
      </c>
    </row>
    <row r="28" customFormat="false" ht="15" hidden="false" customHeight="true" outlineLevel="0" collapsed="false">
      <c r="A28" s="57" t="n">
        <v>20</v>
      </c>
      <c r="B28" s="58" t="n">
        <f aca="false">A28*$B$18*12</f>
        <v>720</v>
      </c>
      <c r="C28" s="59" t="n">
        <f aca="false">MAX(A28*$B$19,$B$20)*12</f>
        <v>1800</v>
      </c>
      <c r="D28" s="59" t="n">
        <f aca="false">C28+$B$21</f>
        <v>4300</v>
      </c>
      <c r="E28" s="60" t="n">
        <f aca="false">B28/A28/12</f>
        <v>3</v>
      </c>
      <c r="F28" s="60" t="n">
        <f aca="false">D28/A28/12</f>
        <v>17.9166666666667</v>
      </c>
    </row>
    <row r="29" customFormat="false" ht="15" hidden="false" customHeight="true" outlineLevel="0" collapsed="false">
      <c r="A29" s="57" t="n">
        <v>50</v>
      </c>
      <c r="B29" s="58" t="n">
        <f aca="false">A29*$B$18*12</f>
        <v>1800</v>
      </c>
      <c r="C29" s="59" t="n">
        <f aca="false">MAX(A29*$B$19,$B$20)*12</f>
        <v>2100</v>
      </c>
      <c r="D29" s="59" t="n">
        <f aca="false">C29+$B$21</f>
        <v>4600</v>
      </c>
      <c r="E29" s="60" t="n">
        <f aca="false">B29/A29/12</f>
        <v>3</v>
      </c>
      <c r="F29" s="60" t="n">
        <f aca="false">D29/A29/12</f>
        <v>7.66666666666667</v>
      </c>
    </row>
    <row r="30" customFormat="false" ht="15" hidden="false" customHeight="true" outlineLevel="0" collapsed="false">
      <c r="A30" s="57" t="n">
        <v>100</v>
      </c>
      <c r="B30" s="58" t="n">
        <f aca="false">A30*$B$18*12</f>
        <v>3600</v>
      </c>
      <c r="C30" s="59" t="n">
        <f aca="false">MAX(A30*$B$19,$B$20)*12</f>
        <v>4200</v>
      </c>
      <c r="D30" s="59" t="n">
        <f aca="false">C30+$B$21</f>
        <v>6700</v>
      </c>
      <c r="E30" s="60" t="n">
        <f aca="false">B30/A30/12</f>
        <v>3</v>
      </c>
      <c r="F30" s="60" t="n">
        <f aca="false">D30/A30/12</f>
        <v>5.58333333333333</v>
      </c>
    </row>
    <row r="31" customFormat="false" ht="15" hidden="false" customHeight="true" outlineLevel="0" collapsed="false">
      <c r="A31" s="31" t="s">
        <v>184</v>
      </c>
      <c r="B31" s="31"/>
      <c r="C31" s="31"/>
      <c r="D31" s="31"/>
      <c r="E31" s="31"/>
      <c r="F31" s="31"/>
    </row>
    <row r="32" customFormat="false" ht="15" hidden="false" customHeight="true" outlineLevel="0" collapsed="false">
      <c r="A32" s="31"/>
      <c r="B32" s="31"/>
      <c r="C32" s="31"/>
      <c r="D32" s="31"/>
      <c r="E32" s="31"/>
      <c r="F32" s="31"/>
    </row>
    <row r="34" customFormat="false" ht="15" hidden="false" customHeight="true" outlineLevel="0" collapsed="false">
      <c r="A34" s="14" t="s">
        <v>185</v>
      </c>
      <c r="B34" s="14"/>
      <c r="C34" s="14"/>
      <c r="D34" s="14"/>
      <c r="E34" s="14"/>
      <c r="F34" s="14"/>
    </row>
    <row r="35" customFormat="false" ht="27.75" hidden="false" customHeight="true" outlineLevel="0" collapsed="false">
      <c r="A35" s="48" t="s">
        <v>186</v>
      </c>
      <c r="B35" s="48"/>
      <c r="C35" s="48"/>
      <c r="D35" s="48"/>
      <c r="E35" s="48"/>
      <c r="F35" s="48"/>
    </row>
    <row r="36" customFormat="false" ht="27.75" hidden="false" customHeight="true" outlineLevel="0" collapsed="false">
      <c r="A36" s="48" t="s">
        <v>187</v>
      </c>
      <c r="B36" s="48"/>
      <c r="C36" s="48"/>
      <c r="D36" s="48"/>
      <c r="E36" s="48"/>
      <c r="F36" s="48"/>
    </row>
    <row r="37" customFormat="false" ht="27.75" hidden="false" customHeight="true" outlineLevel="0" collapsed="false">
      <c r="A37" s="48" t="s">
        <v>188</v>
      </c>
      <c r="B37" s="48"/>
      <c r="C37" s="48"/>
      <c r="D37" s="48"/>
      <c r="E37" s="48"/>
      <c r="F37" s="48"/>
    </row>
    <row r="38" customFormat="false" ht="27.75" hidden="false" customHeight="true" outlineLevel="0" collapsed="false">
      <c r="A38" s="48" t="s">
        <v>189</v>
      </c>
      <c r="B38" s="48"/>
      <c r="C38" s="48"/>
      <c r="D38" s="48"/>
      <c r="E38" s="48"/>
      <c r="F38" s="48"/>
    </row>
    <row r="39" customFormat="false" ht="27.75" hidden="false" customHeight="true" outlineLevel="0" collapsed="false">
      <c r="A39" s="48" t="s">
        <v>190</v>
      </c>
      <c r="B39" s="48"/>
      <c r="C39" s="48"/>
      <c r="D39" s="48"/>
      <c r="E39" s="48"/>
      <c r="F39" s="48"/>
    </row>
  </sheetData>
  <mergeCells count="17">
    <mergeCell ref="A1:F1"/>
    <mergeCell ref="A2:F2"/>
    <mergeCell ref="A4:F4"/>
    <mergeCell ref="A17:F17"/>
    <mergeCell ref="C18:F18"/>
    <mergeCell ref="C19:F19"/>
    <mergeCell ref="C20:F20"/>
    <mergeCell ref="C21:F21"/>
    <mergeCell ref="C22:F22"/>
    <mergeCell ref="A24:F24"/>
    <mergeCell ref="A31:F32"/>
    <mergeCell ref="A34:F34"/>
    <mergeCell ref="A35:F35"/>
    <mergeCell ref="A36:F36"/>
    <mergeCell ref="A37:F37"/>
    <mergeCell ref="A38:F38"/>
    <mergeCell ref="A39:F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6"/>
    <col collapsed="false" customWidth="true" hidden="false" outlineLevel="0" max="3" min="3" style="1" width="3"/>
    <col collapsed="false" customWidth="true" hidden="false" outlineLevel="0" max="4" min="4" style="1" width="58"/>
  </cols>
  <sheetData>
    <row r="1" customFormat="false" ht="21.75" hidden="false" customHeight="true" outlineLevel="0" collapsed="false">
      <c r="A1" s="61" t="s">
        <v>191</v>
      </c>
      <c r="B1" s="61"/>
      <c r="C1" s="61"/>
      <c r="D1" s="61"/>
    </row>
    <row r="3" customFormat="false" ht="15" hidden="false" customHeight="true" outlineLevel="0" collapsed="false">
      <c r="A3" s="14" t="s">
        <v>192</v>
      </c>
      <c r="B3" s="14"/>
    </row>
    <row r="4" customFormat="false" ht="15" hidden="false" customHeight="true" outlineLevel="0" collapsed="false">
      <c r="A4" s="5" t="s">
        <v>193</v>
      </c>
      <c r="B4" s="62" t="n">
        <v>1620633</v>
      </c>
    </row>
    <row r="5" customFormat="false" ht="15" hidden="false" customHeight="true" outlineLevel="0" collapsed="false">
      <c r="A5" s="5" t="s">
        <v>194</v>
      </c>
      <c r="B5" s="62" t="n">
        <v>428020</v>
      </c>
    </row>
    <row r="6" customFormat="false" ht="15" hidden="false" customHeight="true" outlineLevel="0" collapsed="false">
      <c r="A6" s="5" t="s">
        <v>195</v>
      </c>
      <c r="B6" s="62" t="n">
        <v>132338</v>
      </c>
    </row>
    <row r="7" customFormat="false" ht="15" hidden="false" customHeight="true" outlineLevel="0" collapsed="false">
      <c r="A7" s="5" t="s">
        <v>196</v>
      </c>
      <c r="B7" s="62" t="n">
        <v>47633</v>
      </c>
    </row>
    <row r="8" customFormat="false" ht="15" hidden="false" customHeight="true" outlineLevel="0" collapsed="false">
      <c r="A8" s="5" t="s">
        <v>197</v>
      </c>
      <c r="B8" s="62" t="n">
        <v>19530</v>
      </c>
    </row>
    <row r="9" customFormat="false" ht="15" hidden="false" customHeight="true" outlineLevel="0" collapsed="false">
      <c r="A9" s="5" t="s">
        <v>198</v>
      </c>
      <c r="B9" s="62" t="n">
        <v>19977</v>
      </c>
    </row>
    <row r="10" customFormat="false" ht="15" hidden="false" customHeight="true" outlineLevel="0" collapsed="false">
      <c r="A10" s="19" t="s">
        <v>199</v>
      </c>
      <c r="B10" s="43" t="n">
        <f aca="false">SUM(B4:B9)</f>
        <v>2268131</v>
      </c>
    </row>
    <row r="11" customFormat="false" ht="15" hidden="false" customHeight="true" outlineLevel="0" collapsed="false">
      <c r="A11" s="19" t="s">
        <v>200</v>
      </c>
      <c r="B11" s="43" t="n">
        <f aca="false">SUM(B5:B9)</f>
        <v>647498</v>
      </c>
    </row>
    <row r="12" customFormat="false" ht="15" hidden="false" customHeight="true" outlineLevel="0" collapsed="false">
      <c r="A12" s="5" t="s">
        <v>201</v>
      </c>
      <c r="B12" s="10" t="n">
        <f aca="false">B4</f>
        <v>1620633</v>
      </c>
    </row>
    <row r="14" customFormat="false" ht="15" hidden="false" customHeight="true" outlineLevel="0" collapsed="false">
      <c r="A14" s="14" t="s">
        <v>202</v>
      </c>
      <c r="B14" s="14"/>
    </row>
    <row r="15" customFormat="false" ht="15" hidden="false" customHeight="true" outlineLevel="0" collapsed="false">
      <c r="A15" s="5" t="s">
        <v>203</v>
      </c>
      <c r="B15" s="63" t="n">
        <v>7.5</v>
      </c>
      <c r="D15" s="33" t="s">
        <v>204</v>
      </c>
    </row>
    <row r="16" customFormat="false" ht="18.75" hidden="false" customHeight="true" outlineLevel="0" collapsed="false">
      <c r="A16" s="5" t="s">
        <v>205</v>
      </c>
      <c r="B16" s="63" t="n">
        <v>0.88</v>
      </c>
      <c r="D16" s="33" t="s">
        <v>206</v>
      </c>
    </row>
    <row r="17" customFormat="false" ht="15" hidden="false" customHeight="true" outlineLevel="0" collapsed="false">
      <c r="A17" s="5" t="s">
        <v>207</v>
      </c>
      <c r="B17" s="32" t="n">
        <v>2900000</v>
      </c>
      <c r="D17" s="33" t="s">
        <v>208</v>
      </c>
    </row>
    <row r="18" customFormat="false" ht="15" hidden="false" customHeight="true" outlineLevel="0" collapsed="false">
      <c r="A18" s="5" t="s">
        <v>83</v>
      </c>
      <c r="B18" s="34" t="n">
        <v>0.3</v>
      </c>
      <c r="D18" s="33" t="s">
        <v>209</v>
      </c>
    </row>
    <row r="19" customFormat="false" ht="15" hidden="false" customHeight="true" outlineLevel="0" collapsed="false">
      <c r="A19" s="5" t="s">
        <v>89</v>
      </c>
      <c r="B19" s="36" t="n">
        <f aca="false">1-B18</f>
        <v>0.7</v>
      </c>
      <c r="D19" s="33" t="s">
        <v>90</v>
      </c>
    </row>
    <row r="20" customFormat="false" ht="18.75" hidden="false" customHeight="true" outlineLevel="0" collapsed="false">
      <c r="A20" s="5" t="s">
        <v>210</v>
      </c>
      <c r="B20" s="32" t="n">
        <v>11784</v>
      </c>
      <c r="D20" s="33" t="s">
        <v>211</v>
      </c>
    </row>
    <row r="22" customFormat="false" ht="15" hidden="false" customHeight="true" outlineLevel="0" collapsed="false">
      <c r="A22" s="14" t="s">
        <v>212</v>
      </c>
      <c r="B22" s="14"/>
    </row>
    <row r="23" customFormat="false" ht="15" hidden="false" customHeight="true" outlineLevel="0" collapsed="false">
      <c r="A23" s="5" t="s">
        <v>213</v>
      </c>
      <c r="B23" s="10" t="n">
        <f aca="false">B5*2+B6*3+B7*4+B8*5+B9*B15</f>
        <v>1691063.5</v>
      </c>
    </row>
    <row r="24" customFormat="false" ht="15" hidden="false" customHeight="true" outlineLevel="0" collapsed="false">
      <c r="A24" s="5" t="s">
        <v>214</v>
      </c>
      <c r="B24" s="10" t="n">
        <f aca="false">B23*B16</f>
        <v>1488135.88</v>
      </c>
    </row>
    <row r="25" customFormat="false" ht="15" hidden="false" customHeight="true" outlineLevel="0" collapsed="false">
      <c r="A25" s="5" t="s">
        <v>215</v>
      </c>
      <c r="B25" s="64" t="n">
        <f aca="false">B24/B11</f>
        <v>2.29828645030564</v>
      </c>
    </row>
    <row r="26" customFormat="false" ht="15" hidden="false" customHeight="true" outlineLevel="0" collapsed="false">
      <c r="A26" s="14" t="s">
        <v>216</v>
      </c>
      <c r="B26" s="14"/>
    </row>
    <row r="27" customFormat="false" ht="15" hidden="false" customHeight="true" outlineLevel="0" collapsed="false">
      <c r="A27" s="19" t="s">
        <v>217</v>
      </c>
      <c r="B27" s="43" t="n">
        <f aca="false">B11*B18</f>
        <v>194249.4</v>
      </c>
    </row>
    <row r="28" customFormat="false" ht="15" hidden="false" customHeight="true" outlineLevel="0" collapsed="false">
      <c r="A28" s="19" t="s">
        <v>218</v>
      </c>
      <c r="B28" s="43" t="n">
        <f aca="false">B24*B18</f>
        <v>446440.764</v>
      </c>
    </row>
    <row r="29" customFormat="false" ht="15" hidden="false" customHeight="true" outlineLevel="0" collapsed="false">
      <c r="A29" s="5" t="s">
        <v>219</v>
      </c>
      <c r="B29" s="9" t="n">
        <f aca="false">B27*Summary!B5</f>
        <v>97124.7</v>
      </c>
    </row>
    <row r="30" customFormat="false" ht="15" hidden="false" customHeight="true" outlineLevel="0" collapsed="false">
      <c r="A30" s="5" t="s">
        <v>220</v>
      </c>
      <c r="B30" s="9" t="n">
        <f aca="false">B28*Summary!B5</f>
        <v>223220.382</v>
      </c>
    </row>
    <row r="32" customFormat="false" ht="15" hidden="false" customHeight="true" outlineLevel="0" collapsed="false">
      <c r="A32" s="14" t="s">
        <v>221</v>
      </c>
      <c r="B32" s="14"/>
    </row>
    <row r="33" customFormat="false" ht="15" hidden="false" customHeight="true" outlineLevel="0" collapsed="false">
      <c r="A33" s="19" t="s">
        <v>222</v>
      </c>
      <c r="B33" s="43" t="n">
        <f aca="false">B20</f>
        <v>11784</v>
      </c>
    </row>
    <row r="34" customFormat="false" ht="15" hidden="false" customHeight="true" outlineLevel="0" collapsed="false">
      <c r="A34" s="19" t="s">
        <v>223</v>
      </c>
      <c r="B34" s="43" t="n">
        <f aca="false">B17*B19</f>
        <v>2030000</v>
      </c>
    </row>
    <row r="35" customFormat="false" ht="15" hidden="false" customHeight="true" outlineLevel="0" collapsed="false">
      <c r="A35" s="5" t="s">
        <v>224</v>
      </c>
      <c r="B35" s="10" t="n">
        <f aca="false">B34/B20</f>
        <v>172.267481330618</v>
      </c>
    </row>
    <row r="36" customFormat="false" ht="15" hidden="false" customHeight="true" outlineLevel="0" collapsed="false">
      <c r="A36" s="5" t="s">
        <v>225</v>
      </c>
      <c r="B36" s="9" t="n">
        <f aca="false">B33*Summary!B5</f>
        <v>5892</v>
      </c>
    </row>
    <row r="37" customFormat="false" ht="15" hidden="false" customHeight="true" outlineLevel="0" collapsed="false">
      <c r="A37" s="5" t="s">
        <v>220</v>
      </c>
      <c r="B37" s="9" t="n">
        <f aca="false">B34*Summary!B5</f>
        <v>1015000</v>
      </c>
    </row>
    <row r="39" customFormat="false" ht="15" hidden="false" customHeight="true" outlineLevel="0" collapsed="false">
      <c r="A39" s="16" t="s">
        <v>226</v>
      </c>
      <c r="B39" s="16"/>
      <c r="C39" s="16"/>
      <c r="D39" s="16"/>
    </row>
    <row r="40" customFormat="false" ht="15" hidden="false" customHeight="true" outlineLevel="0" collapsed="false">
      <c r="A40" s="65" t="s">
        <v>227</v>
      </c>
      <c r="B40" s="66" t="n">
        <f aca="false">B12*B16*B18</f>
        <v>427847.112</v>
      </c>
    </row>
  </sheetData>
  <mergeCells count="7">
    <mergeCell ref="A1:D1"/>
    <mergeCell ref="A3:B3"/>
    <mergeCell ref="A14:B14"/>
    <mergeCell ref="A22:B22"/>
    <mergeCell ref="A26:B26"/>
    <mergeCell ref="A32:B32"/>
    <mergeCell ref="A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6"/>
    <col collapsed="false" customWidth="true" hidden="false" outlineLevel="0" max="3" min="3" style="1" width="3"/>
    <col collapsed="false" customWidth="true" hidden="false" outlineLevel="0" max="4" min="4" style="1" width="58"/>
  </cols>
  <sheetData>
    <row r="1" customFormat="false" ht="15.75" hidden="false" customHeight="true" outlineLevel="0" collapsed="false">
      <c r="A1" s="61" t="s">
        <v>228</v>
      </c>
      <c r="B1" s="61"/>
      <c r="C1" s="61"/>
      <c r="D1" s="61"/>
    </row>
    <row r="3" customFormat="false" ht="15" hidden="false" customHeight="true" outlineLevel="0" collapsed="false">
      <c r="A3" s="14" t="s">
        <v>229</v>
      </c>
      <c r="B3" s="14"/>
    </row>
    <row r="4" customFormat="false" ht="18.75" hidden="false" customHeight="true" outlineLevel="0" collapsed="false">
      <c r="A4" s="5" t="s">
        <v>230</v>
      </c>
      <c r="B4" s="32" t="n">
        <v>600000</v>
      </c>
      <c r="D4" s="33" t="s">
        <v>231</v>
      </c>
    </row>
    <row r="5" customFormat="false" ht="15" hidden="false" customHeight="true" outlineLevel="0" collapsed="false">
      <c r="A5" s="5" t="s">
        <v>232</v>
      </c>
      <c r="B5" s="34" t="n">
        <v>0.8</v>
      </c>
      <c r="D5" s="33" t="s">
        <v>233</v>
      </c>
    </row>
    <row r="6" customFormat="false" ht="15" hidden="false" customHeight="true" outlineLevel="0" collapsed="false">
      <c r="A6" s="5" t="s">
        <v>234</v>
      </c>
      <c r="B6" s="34" t="n">
        <v>0.5</v>
      </c>
      <c r="D6" s="33" t="s">
        <v>235</v>
      </c>
    </row>
    <row r="7" customFormat="false" ht="15" hidden="false" customHeight="true" outlineLevel="0" collapsed="false">
      <c r="A7" s="5" t="s">
        <v>83</v>
      </c>
      <c r="B7" s="34" t="n">
        <v>0.58</v>
      </c>
      <c r="D7" s="33" t="s">
        <v>236</v>
      </c>
    </row>
    <row r="8" customFormat="false" ht="15" hidden="false" customHeight="true" outlineLevel="0" collapsed="false">
      <c r="A8" s="5" t="s">
        <v>89</v>
      </c>
      <c r="B8" s="36" t="n">
        <f aca="false">1-B6</f>
        <v>0.5</v>
      </c>
      <c r="D8" s="33" t="s">
        <v>90</v>
      </c>
    </row>
    <row r="9" customFormat="false" ht="18.75" hidden="false" customHeight="true" outlineLevel="0" collapsed="false">
      <c r="A9" s="5" t="s">
        <v>237</v>
      </c>
      <c r="B9" s="32" t="n">
        <v>4000</v>
      </c>
      <c r="D9" s="33" t="s">
        <v>238</v>
      </c>
    </row>
    <row r="11" customFormat="false" ht="15" hidden="false" customHeight="true" outlineLevel="0" collapsed="false">
      <c r="A11" s="14" t="s">
        <v>239</v>
      </c>
      <c r="B11" s="14"/>
    </row>
    <row r="12" customFormat="false" ht="15" hidden="false" customHeight="true" outlineLevel="0" collapsed="false">
      <c r="A12" s="5" t="s">
        <v>240</v>
      </c>
      <c r="B12" s="67" t="n">
        <f aca="false">B4*(1-B6)</f>
        <v>300000</v>
      </c>
    </row>
    <row r="13" customFormat="false" ht="15" hidden="false" customHeight="true" outlineLevel="0" collapsed="false">
      <c r="A13" s="5" t="s">
        <v>241</v>
      </c>
      <c r="B13" s="10" t="n">
        <f aca="false">B12/B5</f>
        <v>375000</v>
      </c>
    </row>
    <row r="14" customFormat="false" ht="15" hidden="false" customHeight="true" outlineLevel="0" collapsed="false">
      <c r="A14" s="5" t="s">
        <v>242</v>
      </c>
      <c r="B14" s="10" t="n">
        <f aca="false">B13*(1-B5)</f>
        <v>75000</v>
      </c>
    </row>
    <row r="15" customFormat="false" ht="15" hidden="false" customHeight="true" outlineLevel="0" collapsed="false">
      <c r="A15" s="5" t="s">
        <v>243</v>
      </c>
      <c r="B15" s="10" t="n">
        <f aca="false">B4*B6</f>
        <v>300000</v>
      </c>
    </row>
    <row r="17" customFormat="false" ht="15" hidden="false" customHeight="true" outlineLevel="0" collapsed="false">
      <c r="A17" s="14" t="s">
        <v>244</v>
      </c>
      <c r="B17" s="14"/>
    </row>
    <row r="18" customFormat="false" ht="15" hidden="false" customHeight="true" outlineLevel="0" collapsed="false">
      <c r="A18" s="19" t="s">
        <v>245</v>
      </c>
      <c r="B18" s="43" t="n">
        <f aca="false">B14*B7</f>
        <v>43500</v>
      </c>
    </row>
    <row r="19" customFormat="false" ht="15" hidden="false" customHeight="true" outlineLevel="0" collapsed="false">
      <c r="A19" s="19" t="s">
        <v>218</v>
      </c>
      <c r="B19" s="43" t="n">
        <f aca="false">B15*B7</f>
        <v>174000</v>
      </c>
    </row>
    <row r="20" customFormat="false" ht="15" hidden="false" customHeight="true" outlineLevel="0" collapsed="false">
      <c r="A20" s="5" t="s">
        <v>246</v>
      </c>
      <c r="B20" s="10" t="n">
        <f aca="false">B18</f>
        <v>43500</v>
      </c>
    </row>
    <row r="21" customFormat="false" ht="15" hidden="false" customHeight="true" outlineLevel="0" collapsed="false">
      <c r="A21" s="5" t="s">
        <v>247</v>
      </c>
      <c r="B21" s="10" t="n">
        <f aca="false">B19</f>
        <v>174000</v>
      </c>
    </row>
    <row r="23" customFormat="false" ht="15" hidden="false" customHeight="true" outlineLevel="0" collapsed="false">
      <c r="A23" s="14" t="s">
        <v>248</v>
      </c>
      <c r="B23" s="14"/>
    </row>
    <row r="24" customFormat="false" ht="15" hidden="false" customHeight="true" outlineLevel="0" collapsed="false">
      <c r="A24" s="19" t="s">
        <v>249</v>
      </c>
      <c r="B24" s="43" t="n">
        <f aca="false">B9</f>
        <v>4000</v>
      </c>
    </row>
    <row r="25" customFormat="false" ht="15" hidden="false" customHeight="true" outlineLevel="0" collapsed="false">
      <c r="A25" s="19" t="s">
        <v>223</v>
      </c>
      <c r="B25" s="43" t="n">
        <f aca="false">B4*B8</f>
        <v>300000</v>
      </c>
    </row>
    <row r="26" customFormat="false" ht="15" hidden="false" customHeight="true" outlineLevel="0" collapsed="false">
      <c r="A26" s="5" t="s">
        <v>246</v>
      </c>
      <c r="B26" s="10" t="n">
        <f aca="false">B24</f>
        <v>4000</v>
      </c>
    </row>
    <row r="27" customFormat="false" ht="15" hidden="false" customHeight="true" outlineLevel="0" collapsed="false">
      <c r="A27" s="5" t="s">
        <v>247</v>
      </c>
      <c r="B27" s="10" t="n">
        <f aca="false">B25</f>
        <v>300000</v>
      </c>
    </row>
  </sheetData>
  <mergeCells count="5">
    <mergeCell ref="A1:D1"/>
    <mergeCell ref="A3:B3"/>
    <mergeCell ref="A11:B11"/>
    <mergeCell ref="A17:B17"/>
    <mergeCell ref="A23:B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6"/>
    <col collapsed="false" customWidth="true" hidden="false" outlineLevel="0" max="3" min="3" style="1" width="3"/>
    <col collapsed="false" customWidth="true" hidden="false" outlineLevel="0" max="4" min="4" style="1" width="58"/>
  </cols>
  <sheetData>
    <row r="1" customFormat="false" ht="15.75" hidden="false" customHeight="true" outlineLevel="0" collapsed="false">
      <c r="A1" s="61" t="s">
        <v>250</v>
      </c>
      <c r="B1" s="61"/>
      <c r="C1" s="61"/>
      <c r="D1" s="61"/>
    </row>
    <row r="3" customFormat="false" ht="15" hidden="false" customHeight="true" outlineLevel="0" collapsed="false">
      <c r="A3" s="14" t="s">
        <v>229</v>
      </c>
      <c r="B3" s="14"/>
    </row>
    <row r="4" customFormat="false" ht="15" hidden="false" customHeight="true" outlineLevel="0" collapsed="false">
      <c r="A4" s="5" t="s">
        <v>251</v>
      </c>
      <c r="B4" s="32" t="n">
        <v>49500000</v>
      </c>
      <c r="D4" s="33" t="s">
        <v>252</v>
      </c>
    </row>
    <row r="5" customFormat="false" ht="15" hidden="false" customHeight="true" outlineLevel="0" collapsed="false">
      <c r="A5" s="5" t="s">
        <v>253</v>
      </c>
      <c r="B5" s="32" t="n">
        <v>10500000</v>
      </c>
      <c r="D5" s="33" t="s">
        <v>254</v>
      </c>
    </row>
    <row r="6" customFormat="false" ht="15" hidden="false" customHeight="true" outlineLevel="0" collapsed="false">
      <c r="A6" s="5" t="s">
        <v>255</v>
      </c>
      <c r="B6" s="32" t="n">
        <v>15900000</v>
      </c>
      <c r="D6" s="33" t="s">
        <v>256</v>
      </c>
    </row>
    <row r="7" customFormat="false" ht="15" hidden="false" customHeight="true" outlineLevel="0" collapsed="false">
      <c r="A7" s="5" t="s">
        <v>257</v>
      </c>
      <c r="B7" s="32" t="n">
        <v>5000000</v>
      </c>
      <c r="D7" s="33" t="s">
        <v>258</v>
      </c>
    </row>
    <row r="8" customFormat="false" ht="15" hidden="false" customHeight="true" outlineLevel="0" collapsed="false">
      <c r="A8" s="5" t="s">
        <v>259</v>
      </c>
      <c r="B8" s="34" t="n">
        <v>0.75</v>
      </c>
      <c r="D8" s="33" t="s">
        <v>260</v>
      </c>
    </row>
    <row r="9" customFormat="false" ht="15" hidden="false" customHeight="true" outlineLevel="0" collapsed="false">
      <c r="A9" s="5" t="s">
        <v>261</v>
      </c>
      <c r="B9" s="34" t="n">
        <v>0.45</v>
      </c>
      <c r="D9" s="33" t="s">
        <v>262</v>
      </c>
    </row>
    <row r="10" customFormat="false" ht="15" hidden="false" customHeight="true" outlineLevel="0" collapsed="false">
      <c r="A10" s="5" t="s">
        <v>263</v>
      </c>
      <c r="B10" s="32" t="n">
        <v>238381</v>
      </c>
      <c r="D10" s="33" t="s">
        <v>264</v>
      </c>
    </row>
    <row r="13" customFormat="false" ht="15" hidden="false" customHeight="true" outlineLevel="0" collapsed="false">
      <c r="A13" s="14" t="s">
        <v>244</v>
      </c>
      <c r="B13" s="14"/>
    </row>
    <row r="14" customFormat="false" ht="15" hidden="false" customHeight="true" outlineLevel="0" collapsed="false">
      <c r="A14" s="19" t="s">
        <v>265</v>
      </c>
      <c r="B14" s="43" t="n">
        <f aca="false">B7</f>
        <v>5000000</v>
      </c>
    </row>
    <row r="15" customFormat="false" ht="18.75" hidden="false" customHeight="true" outlineLevel="0" collapsed="false">
      <c r="A15" s="19" t="s">
        <v>266</v>
      </c>
      <c r="B15" s="43" t="n">
        <f aca="false">B6*B8</f>
        <v>11925000</v>
      </c>
      <c r="D15" s="33" t="s">
        <v>267</v>
      </c>
    </row>
    <row r="16" customFormat="false" ht="15" hidden="false" customHeight="true" outlineLevel="0" collapsed="false">
      <c r="A16" s="16" t="s">
        <v>268</v>
      </c>
      <c r="B16" s="16"/>
      <c r="C16" s="16"/>
      <c r="D16" s="16"/>
    </row>
    <row r="18" customFormat="false" ht="15" hidden="false" customHeight="true" outlineLevel="0" collapsed="false">
      <c r="A18" s="5" t="s">
        <v>246</v>
      </c>
      <c r="B18" s="10" t="n">
        <f aca="false">B14</f>
        <v>5000000</v>
      </c>
    </row>
    <row r="19" customFormat="false" ht="15" hidden="false" customHeight="true" outlineLevel="0" collapsed="false">
      <c r="A19" s="5" t="s">
        <v>247</v>
      </c>
      <c r="B19" s="10" t="n">
        <f aca="false">B15</f>
        <v>11925000</v>
      </c>
    </row>
    <row r="21" customFormat="false" ht="15" hidden="false" customHeight="true" outlineLevel="0" collapsed="false">
      <c r="A21" s="14" t="s">
        <v>248</v>
      </c>
      <c r="B21" s="14"/>
    </row>
    <row r="22" customFormat="false" ht="15" hidden="false" customHeight="true" outlineLevel="0" collapsed="false">
      <c r="A22" s="19" t="s">
        <v>222</v>
      </c>
      <c r="B22" s="43" t="n">
        <f aca="false">B10</f>
        <v>238381</v>
      </c>
    </row>
    <row r="23" customFormat="false" ht="15" hidden="false" customHeight="true" outlineLevel="0" collapsed="false">
      <c r="A23" s="19" t="s">
        <v>269</v>
      </c>
      <c r="B23" s="43" t="n">
        <f aca="false">B4*B9</f>
        <v>22275000</v>
      </c>
    </row>
    <row r="24" customFormat="false" ht="15" hidden="false" customHeight="true" outlineLevel="0" collapsed="false">
      <c r="A24" s="5" t="s">
        <v>246</v>
      </c>
      <c r="B24" s="10" t="n">
        <f aca="false">B22</f>
        <v>238381</v>
      </c>
    </row>
    <row r="25" customFormat="false" ht="15" hidden="false" customHeight="true" outlineLevel="0" collapsed="false">
      <c r="A25" s="5" t="s">
        <v>247</v>
      </c>
      <c r="B25" s="10" t="n">
        <f aca="false">B23</f>
        <v>22275000</v>
      </c>
    </row>
  </sheetData>
  <mergeCells count="5">
    <mergeCell ref="A1:D1"/>
    <mergeCell ref="A3:B3"/>
    <mergeCell ref="A13:B13"/>
    <mergeCell ref="A16:D16"/>
    <mergeCell ref="A21:B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0"/>
  </cols>
  <sheetData>
    <row r="1" customFormat="false" ht="15.75" hidden="false" customHeight="true" outlineLevel="0" collapsed="false">
      <c r="A1" s="68" t="s">
        <v>270</v>
      </c>
    </row>
    <row r="3" customFormat="false" ht="15" hidden="false" customHeight="true" outlineLevel="0" collapsed="false">
      <c r="A3" s="69" t="s">
        <v>271</v>
      </c>
    </row>
    <row r="4" customFormat="false" ht="21.75" hidden="false" customHeight="true" outlineLevel="0" collapsed="false">
      <c r="A4" s="70" t="s">
        <v>272</v>
      </c>
    </row>
    <row r="5" customFormat="false" ht="21.75" hidden="false" customHeight="true" outlineLevel="0" collapsed="false">
      <c r="A5" s="70" t="s">
        <v>273</v>
      </c>
    </row>
    <row r="6" customFormat="false" ht="15" hidden="false" customHeight="true" outlineLevel="0" collapsed="false">
      <c r="A6" s="70"/>
    </row>
    <row r="7" customFormat="false" ht="15" hidden="false" customHeight="true" outlineLevel="0" collapsed="false">
      <c r="A7" s="69" t="s">
        <v>274</v>
      </c>
    </row>
    <row r="8" customFormat="false" ht="15" hidden="false" customHeight="true" outlineLevel="0" collapsed="false">
      <c r="A8" s="70" t="s">
        <v>275</v>
      </c>
    </row>
    <row r="9" customFormat="false" ht="15" hidden="false" customHeight="true" outlineLevel="0" collapsed="false">
      <c r="A9" s="70" t="s">
        <v>276</v>
      </c>
    </row>
    <row r="10" customFormat="false" ht="21.75" hidden="false" customHeight="true" outlineLevel="0" collapsed="false">
      <c r="A10" s="70" t="s">
        <v>277</v>
      </c>
    </row>
    <row r="11" customFormat="false" ht="15" hidden="false" customHeight="true" outlineLevel="0" collapsed="false">
      <c r="A11" s="70"/>
    </row>
    <row r="12" customFormat="false" ht="15" hidden="false" customHeight="true" outlineLevel="0" collapsed="false">
      <c r="A12" s="69" t="s">
        <v>278</v>
      </c>
    </row>
    <row r="13" customFormat="false" ht="21.75" hidden="false" customHeight="true" outlineLevel="0" collapsed="false">
      <c r="A13" s="70" t="s">
        <v>279</v>
      </c>
    </row>
    <row r="14" customFormat="false" ht="21.75" hidden="false" customHeight="true" outlineLevel="0" collapsed="false">
      <c r="A14" s="70" t="s">
        <v>280</v>
      </c>
    </row>
    <row r="15" customFormat="false" ht="15" hidden="false" customHeight="true" outlineLevel="0" collapsed="false">
      <c r="A15" s="70" t="s">
        <v>281</v>
      </c>
    </row>
    <row r="16" customFormat="false" ht="21.75" hidden="false" customHeight="true" outlineLevel="0" collapsed="false">
      <c r="A16" s="70" t="s">
        <v>282</v>
      </c>
    </row>
    <row r="17" customFormat="false" ht="15" hidden="false" customHeight="true" outlineLevel="0" collapsed="false">
      <c r="A17" s="70"/>
    </row>
    <row r="18" customFormat="false" ht="15" hidden="false" customHeight="true" outlineLevel="0" collapsed="false">
      <c r="A18" s="69" t="s">
        <v>283</v>
      </c>
    </row>
    <row r="19" customFormat="false" ht="21.75" hidden="false" customHeight="true" outlineLevel="0" collapsed="false">
      <c r="A19" s="70" t="s">
        <v>284</v>
      </c>
    </row>
    <row r="20" customFormat="false" ht="21.75" hidden="false" customHeight="true" outlineLevel="0" collapsed="false">
      <c r="A20" s="70" t="s">
        <v>285</v>
      </c>
    </row>
    <row r="21" customFormat="false" ht="15" hidden="false" customHeight="true" outlineLevel="0" collapsed="false">
      <c r="A21" s="70" t="s">
        <v>286</v>
      </c>
    </row>
    <row r="22" customFormat="false" ht="21.75" hidden="false" customHeight="true" outlineLevel="0" collapsed="false">
      <c r="A22" s="70" t="s">
        <v>287</v>
      </c>
    </row>
    <row r="23" customFormat="false" ht="15" hidden="false" customHeight="true" outlineLevel="0" collapsed="false">
      <c r="A23" s="70" t="s">
        <v>288</v>
      </c>
    </row>
    <row r="24" customFormat="false" ht="21.75" hidden="false" customHeight="true" outlineLevel="0" collapsed="false">
      <c r="A24" s="70" t="s">
        <v>289</v>
      </c>
    </row>
    <row r="25" customFormat="false" ht="15" hidden="false" customHeight="true" outlineLevel="0" collapsed="false">
      <c r="A25" s="70" t="s">
        <v>290</v>
      </c>
    </row>
    <row r="26" customFormat="false" ht="15" hidden="false" customHeight="true" outlineLevel="0" collapsed="false">
      <c r="A26" s="70" t="s">
        <v>291</v>
      </c>
    </row>
    <row r="27" customFormat="false" ht="15" hidden="false" customHeight="true" outlineLevel="0" collapsed="false">
      <c r="A27" s="70" t="s">
        <v>292</v>
      </c>
    </row>
    <row r="28" customFormat="false" ht="21.75" hidden="false" customHeight="true" outlineLevel="0" collapsed="false">
      <c r="A28" s="70" t="s">
        <v>293</v>
      </c>
    </row>
    <row r="29" customFormat="false" ht="15" hidden="false" customHeight="true" outlineLevel="0" collapsed="false">
      <c r="A29" s="70" t="s">
        <v>294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2026-05-30T22:47:23Z</dcterms:created>
  <dc:creator>openpyxl</dc:creator>
  <dc:description/>
  <dc:language>en-US</dc:language>
  <cp:lastModifiedBy/>
  <dcterms:modified xsi:type="dcterms:W3CDTF">2026-05-31T04:38:31Z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